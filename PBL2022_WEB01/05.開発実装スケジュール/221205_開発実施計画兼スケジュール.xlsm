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18D4C25E-64FA-41FD-B419-A81BAEC21D6B}" xr6:coauthVersionLast="47" xr6:coauthVersionMax="47" xr10:uidLastSave="{00000000-0000-0000-0000-000000000000}"/>
  <bookViews>
    <workbookView xWindow="-120" yWindow="-120" windowWidth="24240" windowHeight="13140" tabRatio="416" xr2:uid="{00000000-000D-0000-FFFF-FFFF00000000}"/>
  </bookViews>
  <sheets>
    <sheet name="ｽｹｼﾞｭｰﾙ" sheetId="1" r:id="rId1"/>
    <sheet name="設定" sheetId="2" r:id="rId2"/>
  </sheets>
  <functionGroups builtInGroupCount="19"/>
  <definedNames>
    <definedName name="ATART_INAZUMA">ｽｹｼﾞｭｰﾙ!$R$15</definedName>
    <definedName name="BAR_COLOR_NAME">ｽｹｼﾞｭｰﾙ!$IJ$10</definedName>
    <definedName name="BEFORE_TASK">ｽｹｼﾞｭｰﾙ!$J$14</definedName>
    <definedName name="COMPLETE_MARK">ｽｹｼﾞｭｰﾙ!$C$14</definedName>
    <definedName name="DECISION_AREA">ｽｹｼﾞｭｰﾙ!$D$15:$K$92</definedName>
    <definedName name="DEVELOPMENT_PERIOD">ｽｹｼﾞｭｰﾙ!$E$4</definedName>
    <definedName name="DEVELPMENT_TITLE">ｽｹｼﾞｭｰﾙ!$E$2</definedName>
    <definedName name="EDU_DAY">ｽｹｼﾞｭｰﾙ!$R$95</definedName>
    <definedName name="EDU_DAY_END">ｽｹｼﾞｭｰﾙ!$ID$11</definedName>
    <definedName name="EDU_HOUR">ｽｹｼﾞｭｰﾙ!$R$96</definedName>
    <definedName name="EDU_MINUTE">ｽｹｼﾞｭｰﾙ!$R$97</definedName>
    <definedName name="END_EDU_MINUTE">ｽｹｼﾞｭｰﾙ!$ID$13</definedName>
    <definedName name="ENDROW">ｽｹｼﾞｭｰﾙ!$A$93</definedName>
    <definedName name="EVENT_INFO">ｽｹｼﾞｭｰﾙ!$R$14</definedName>
    <definedName name="EVENT_MATRIX_START_ROW">設定!$B$19</definedName>
    <definedName name="INTERVAL">設定!$Y$2</definedName>
    <definedName name="KANRYOU_YOTEI">ｽｹｼﾞｭｰﾙ!$K$14</definedName>
    <definedName name="KIND">ｽｹｼﾞｭｰﾙ!$A$14</definedName>
    <definedName name="KOUBAN">ｽｹｼﾞｭｰﾙ!$B$14</definedName>
    <definedName name="KOUBAN_TYPE">ｽｹｼﾞｭｰﾙ!$IH$15</definedName>
    <definedName name="MATRIX_TIME">設定!$C$3:$V$3</definedName>
    <definedName name="MEMBER">ｽｹｼﾞｭｰﾙ!$II$10</definedName>
    <definedName name="MEMBER_NO">ｽｹｼﾞｭｰﾙ!$II$15</definedName>
    <definedName name="MEMBER_TITLE">ｽｹｼﾞｭｰﾙ!$E$14</definedName>
    <definedName name="PERIOD">ｽｹｼﾞｭｰﾙ!$I$14</definedName>
    <definedName name="PRACTISE">ｽｹｼﾞｭｰﾙ!$R$100</definedName>
    <definedName name="_xlnm.Print_Area" localSheetId="0">ｽｹｼﾞｭｰﾙ!$A$1:$ID$93</definedName>
    <definedName name="PROGRESS">ｽｹｼﾞｭｰﾙ!$P$14</definedName>
    <definedName name="REFRESH_FLG">ｽｹｼﾞｭｰﾙ!$IG$15</definedName>
    <definedName name="RESULT_DAY">ｽｹｼﾞｭｰﾙ!$L$14</definedName>
    <definedName name="RESULT_GEN">ｽｹｼﾞｭｰﾙ!$M$14</definedName>
    <definedName name="RESULT_KOUSU">ｽｹｼﾞｭｰﾙ!$IK$15</definedName>
    <definedName name="RESULT_MINUTE">ｽｹｼﾞｭｰﾙ!$N$14</definedName>
    <definedName name="RESULT_PERIOD">ｽｹｼﾞｭｰﾙ!$O$14</definedName>
    <definedName name="SCHEDULE_ALT_DAY">ｽｹｼﾞｭｰﾙ!$M$3</definedName>
    <definedName name="SCHEDULE_AREA">ｽｹｼﾞｭｰﾙ!$R$15:$ID$93</definedName>
    <definedName name="SEP_A">ｽｹｼﾞｭｰﾙ!$B$38</definedName>
    <definedName name="SEP_B">ｽｹｼﾞｭｰﾙ!$B$49</definedName>
    <definedName name="SEP_C">ｽｹｼﾞｭｰﾙ!$B$60</definedName>
    <definedName name="SEP_D">ｽｹｼﾞｭｰﾙ!$B$71</definedName>
    <definedName name="SEP_E">ｽｹｼﾞｭｰﾙ!$B$82</definedName>
    <definedName name="SEP_F">ｽｹｼﾞｭｰﾙ!$B$93</definedName>
    <definedName name="SERIAL_TIME">ｽｹｼﾞｭｰﾙ!$R$99</definedName>
    <definedName name="SERIAL_TIME_END">ｽｹｼﾞｭｰﾙ!#REF!</definedName>
    <definedName name="STARTDAY">ｽｹｼﾞｭｰﾙ!$F$14</definedName>
    <definedName name="STARTGEN">ｽｹｼﾞｭｰﾙ!$G$14</definedName>
    <definedName name="STARTMINUTE">ｽｹｼﾞｭｰﾙ!$H$14</definedName>
    <definedName name="TEAME_NAME">ｽｹｼﾞｭｰﾙ!$E$3</definedName>
    <definedName name="WORK_AREA_END">ｽｹｼﾞｭｰﾙ!$IL$14</definedName>
    <definedName name="WORK_AREA_START">ｽｹｼﾞｭｰﾙ!$IF$14</definedName>
    <definedName name="WORK_TITLE">ｽｹｼﾞｭｰﾙ!$D$14</definedName>
    <definedName name="演習開催日">設定!$B$4:$B$14</definedName>
    <definedName name="演習開催日2">設定!$A$4:$B$14</definedName>
    <definedName name="開始時間">設定!$X$4:$Y$5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K37" i="1" l="1"/>
  <c r="II37" i="1"/>
  <c r="IJ37" i="1" s="1"/>
  <c r="C37" i="1"/>
  <c r="IK36" i="1"/>
  <c r="II36" i="1"/>
  <c r="IJ36" i="1" s="1"/>
  <c r="C36" i="1"/>
  <c r="IC96" i="1"/>
  <c r="IB96" i="1"/>
  <c r="IA96" i="1"/>
  <c r="HZ96" i="1"/>
  <c r="HY96" i="1"/>
  <c r="HX96" i="1"/>
  <c r="HW96" i="1"/>
  <c r="HV96" i="1"/>
  <c r="HU96" i="1"/>
  <c r="HT96" i="1"/>
  <c r="HT98" i="1" s="1"/>
  <c r="HS96" i="1"/>
  <c r="HR96" i="1"/>
  <c r="HQ96" i="1"/>
  <c r="HP96" i="1"/>
  <c r="HO96" i="1"/>
  <c r="HN96" i="1"/>
  <c r="HM96" i="1"/>
  <c r="HL96" i="1"/>
  <c r="HK96" i="1"/>
  <c r="HJ96" i="1"/>
  <c r="HJ98" i="1" s="1"/>
  <c r="B29" i="2"/>
  <c r="DC4" i="1"/>
  <c r="DC3" i="1"/>
  <c r="M2" i="1"/>
  <c r="B28" i="2"/>
  <c r="HJ99" i="1" l="1"/>
  <c r="HK98" i="1"/>
  <c r="HU98" i="1"/>
  <c r="HT99" i="1"/>
  <c r="B23" i="2"/>
  <c r="HU99" i="1" l="1"/>
  <c r="HV98" i="1"/>
  <c r="HL98" i="1"/>
  <c r="HK99" i="1"/>
  <c r="B19" i="2"/>
  <c r="B20" i="2"/>
  <c r="HM98" i="1" l="1"/>
  <c r="HL99" i="1"/>
  <c r="HV99" i="1"/>
  <c r="HW98" i="1"/>
  <c r="HD96" i="1"/>
  <c r="HE96" i="1"/>
  <c r="HF96" i="1"/>
  <c r="GU96" i="1"/>
  <c r="GV96" i="1"/>
  <c r="GK96" i="1"/>
  <c r="GL96" i="1"/>
  <c r="GB96" i="1"/>
  <c r="FR96" i="1"/>
  <c r="FS96" i="1"/>
  <c r="FT96" i="1"/>
  <c r="FU96" i="1"/>
  <c r="FG96" i="1"/>
  <c r="FH96" i="1"/>
  <c r="FI96" i="1"/>
  <c r="EW96" i="1"/>
  <c r="EX96" i="1"/>
  <c r="EN96" i="1"/>
  <c r="EO96" i="1"/>
  <c r="EP96" i="1"/>
  <c r="DZ96" i="1"/>
  <c r="EA96" i="1"/>
  <c r="DS96" i="1"/>
  <c r="DT96" i="1"/>
  <c r="DU96" i="1"/>
  <c r="DJ96" i="1"/>
  <c r="DK96" i="1"/>
  <c r="DL96" i="1"/>
  <c r="CX96" i="1"/>
  <c r="CY96" i="1"/>
  <c r="CL96" i="1"/>
  <c r="CM96" i="1"/>
  <c r="CN96" i="1"/>
  <c r="CC96" i="1"/>
  <c r="CD96" i="1"/>
  <c r="CE96" i="1"/>
  <c r="BR96" i="1"/>
  <c r="BS96" i="1"/>
  <c r="BT96" i="1"/>
  <c r="BL96" i="1"/>
  <c r="BM96" i="1"/>
  <c r="BN96" i="1"/>
  <c r="BO96" i="1"/>
  <c r="AX96" i="1"/>
  <c r="AQ96" i="1"/>
  <c r="AD96" i="1"/>
  <c r="V96" i="1"/>
  <c r="HX98" i="1" l="1"/>
  <c r="HW99" i="1"/>
  <c r="HM99" i="1"/>
  <c r="HN98" i="1"/>
  <c r="M3" i="2"/>
  <c r="IK35" i="1"/>
  <c r="II35" i="1"/>
  <c r="IJ35" i="1" s="1"/>
  <c r="C35" i="1"/>
  <c r="DW96" i="1"/>
  <c r="HN99" i="1" l="1"/>
  <c r="HO98" i="1"/>
  <c r="HX99" i="1"/>
  <c r="HY98" i="1"/>
  <c r="IK34" i="1"/>
  <c r="II34" i="1"/>
  <c r="IJ34" i="1" s="1"/>
  <c r="C34" i="1"/>
  <c r="IK33" i="1"/>
  <c r="II33" i="1"/>
  <c r="IJ33" i="1" s="1"/>
  <c r="C33" i="1"/>
  <c r="IK32" i="1"/>
  <c r="II32" i="1"/>
  <c r="IJ32" i="1" s="1"/>
  <c r="C32" i="1"/>
  <c r="B21" i="2"/>
  <c r="B22" i="2"/>
  <c r="B24" i="2"/>
  <c r="B25" i="2"/>
  <c r="B26" i="2"/>
  <c r="B27" i="2"/>
  <c r="IM14" i="1"/>
  <c r="II84" i="1"/>
  <c r="IJ84" i="1" s="1"/>
  <c r="II85" i="1"/>
  <c r="IJ85" i="1" s="1"/>
  <c r="II86" i="1"/>
  <c r="IJ86" i="1" s="1"/>
  <c r="II87" i="1"/>
  <c r="IJ87" i="1" s="1"/>
  <c r="II88" i="1"/>
  <c r="IJ88" i="1" s="1"/>
  <c r="II89" i="1"/>
  <c r="IJ89" i="1" s="1"/>
  <c r="II90" i="1"/>
  <c r="IJ90" i="1" s="1"/>
  <c r="II91" i="1"/>
  <c r="IJ91" i="1" s="1"/>
  <c r="II92" i="1"/>
  <c r="IJ92" i="1" s="1"/>
  <c r="II83" i="1"/>
  <c r="IJ83" i="1" s="1"/>
  <c r="II73" i="1"/>
  <c r="IJ73" i="1" s="1"/>
  <c r="II74" i="1"/>
  <c r="IJ74" i="1" s="1"/>
  <c r="II75" i="1"/>
  <c r="IJ75" i="1" s="1"/>
  <c r="II76" i="1"/>
  <c r="IJ76" i="1" s="1"/>
  <c r="II77" i="1"/>
  <c r="IJ77" i="1" s="1"/>
  <c r="II78" i="1"/>
  <c r="IJ78" i="1" s="1"/>
  <c r="II79" i="1"/>
  <c r="IJ79" i="1" s="1"/>
  <c r="II80" i="1"/>
  <c r="IJ80" i="1" s="1"/>
  <c r="II81" i="1"/>
  <c r="IJ81" i="1" s="1"/>
  <c r="II72" i="1"/>
  <c r="IJ72" i="1" s="1"/>
  <c r="II62" i="1"/>
  <c r="IJ62" i="1" s="1"/>
  <c r="II63" i="1"/>
  <c r="IJ63" i="1" s="1"/>
  <c r="II64" i="1"/>
  <c r="IJ64" i="1" s="1"/>
  <c r="II65" i="1"/>
  <c r="IJ65" i="1" s="1"/>
  <c r="II66" i="1"/>
  <c r="IJ66" i="1" s="1"/>
  <c r="II67" i="1"/>
  <c r="IJ67" i="1" s="1"/>
  <c r="II68" i="1"/>
  <c r="IJ68" i="1" s="1"/>
  <c r="II69" i="1"/>
  <c r="IJ69" i="1" s="1"/>
  <c r="II70" i="1"/>
  <c r="IJ70" i="1" s="1"/>
  <c r="II61" i="1"/>
  <c r="IJ61" i="1" s="1"/>
  <c r="II51" i="1"/>
  <c r="IJ51" i="1" s="1"/>
  <c r="II52" i="1"/>
  <c r="IJ52" i="1" s="1"/>
  <c r="II53" i="1"/>
  <c r="IJ53" i="1" s="1"/>
  <c r="II54" i="1"/>
  <c r="IJ54" i="1" s="1"/>
  <c r="II55" i="1"/>
  <c r="IJ55" i="1" s="1"/>
  <c r="II56" i="1"/>
  <c r="IJ56" i="1" s="1"/>
  <c r="II57" i="1"/>
  <c r="IJ57" i="1" s="1"/>
  <c r="II58" i="1"/>
  <c r="IJ58" i="1" s="1"/>
  <c r="II59" i="1"/>
  <c r="IJ59" i="1" s="1"/>
  <c r="II50" i="1"/>
  <c r="IJ50" i="1" s="1"/>
  <c r="II40" i="1"/>
  <c r="IJ40" i="1" s="1"/>
  <c r="II41" i="1"/>
  <c r="IJ41" i="1" s="1"/>
  <c r="II42" i="1"/>
  <c r="IJ42" i="1" s="1"/>
  <c r="II43" i="1"/>
  <c r="IJ43" i="1" s="1"/>
  <c r="II44" i="1"/>
  <c r="IJ44" i="1" s="1"/>
  <c r="II45" i="1"/>
  <c r="IJ45" i="1" s="1"/>
  <c r="II46" i="1"/>
  <c r="IJ46" i="1" s="1"/>
  <c r="II47" i="1"/>
  <c r="IJ47" i="1" s="1"/>
  <c r="II48" i="1"/>
  <c r="IJ48" i="1" s="1"/>
  <c r="II39" i="1"/>
  <c r="IJ39" i="1" s="1"/>
  <c r="II16" i="1"/>
  <c r="IJ16" i="1" s="1"/>
  <c r="II17" i="1"/>
  <c r="IJ17" i="1" s="1"/>
  <c r="II18" i="1"/>
  <c r="IJ18" i="1" s="1"/>
  <c r="II19" i="1"/>
  <c r="IJ19" i="1" s="1"/>
  <c r="II20" i="1"/>
  <c r="IJ20" i="1" s="1"/>
  <c r="II21" i="1"/>
  <c r="IJ21" i="1" s="1"/>
  <c r="II22" i="1"/>
  <c r="IJ22" i="1" s="1"/>
  <c r="II23" i="1"/>
  <c r="IJ23" i="1" s="1"/>
  <c r="II24" i="1"/>
  <c r="IJ24" i="1" s="1"/>
  <c r="II25" i="1"/>
  <c r="IJ25" i="1" s="1"/>
  <c r="II26" i="1"/>
  <c r="IJ26" i="1" s="1"/>
  <c r="II27" i="1"/>
  <c r="IJ27" i="1" s="1"/>
  <c r="II28" i="1"/>
  <c r="IJ28" i="1" s="1"/>
  <c r="II29" i="1"/>
  <c r="IJ29" i="1" s="1"/>
  <c r="II30" i="1"/>
  <c r="IJ30" i="1" s="1"/>
  <c r="II31" i="1"/>
  <c r="IJ31" i="1" s="1"/>
  <c r="II15" i="1"/>
  <c r="IJ15" i="1" s="1"/>
  <c r="IM16" i="1"/>
  <c r="IM15" i="1"/>
  <c r="IM23" i="1"/>
  <c r="IM22" i="1"/>
  <c r="IM21" i="1"/>
  <c r="IM20" i="1"/>
  <c r="IM19" i="1"/>
  <c r="IM18" i="1"/>
  <c r="IM17" i="1"/>
  <c r="DC8" i="1"/>
  <c r="DC7" i="1"/>
  <c r="DC6" i="1"/>
  <c r="DC5" i="1"/>
  <c r="IK31" i="1"/>
  <c r="C31" i="1"/>
  <c r="IK30" i="1"/>
  <c r="C30" i="1"/>
  <c r="IK29" i="1"/>
  <c r="C29" i="1"/>
  <c r="IK28" i="1"/>
  <c r="C28" i="1"/>
  <c r="IK27" i="1"/>
  <c r="C27" i="1"/>
  <c r="B18" i="2"/>
  <c r="M16" i="2"/>
  <c r="C16" i="2"/>
  <c r="N2" i="2"/>
  <c r="N3" i="2" s="1"/>
  <c r="N18" i="2" s="1"/>
  <c r="M18" i="2"/>
  <c r="D2" i="2"/>
  <c r="D3" i="2" s="1"/>
  <c r="D18" i="2" s="1"/>
  <c r="M17" i="2"/>
  <c r="C3" i="2"/>
  <c r="C18" i="2" s="1"/>
  <c r="C17" i="2"/>
  <c r="IK15" i="1"/>
  <c r="IK16" i="1"/>
  <c r="IK17" i="1"/>
  <c r="IK18" i="1"/>
  <c r="IK19" i="1"/>
  <c r="IK20" i="1"/>
  <c r="IK21" i="1"/>
  <c r="IK22" i="1"/>
  <c r="IK23" i="1"/>
  <c r="IK24" i="1"/>
  <c r="IK25" i="1"/>
  <c r="IK26" i="1"/>
  <c r="R11" i="1"/>
  <c r="IM13" i="1"/>
  <c r="C26" i="1"/>
  <c r="C25" i="1"/>
  <c r="B101" i="1"/>
  <c r="C101" i="1" s="1"/>
  <c r="D101" i="1" s="1"/>
  <c r="E101" i="1" s="1"/>
  <c r="F101" i="1" s="1"/>
  <c r="G101" i="1" s="1"/>
  <c r="H101" i="1" s="1"/>
  <c r="I101" i="1" s="1"/>
  <c r="J101" i="1" s="1"/>
  <c r="K101" i="1" s="1"/>
  <c r="L101" i="1" s="1"/>
  <c r="M101" i="1" s="1"/>
  <c r="N101" i="1" s="1"/>
  <c r="O101" i="1" s="1"/>
  <c r="P101" i="1" s="1"/>
  <c r="Q101" i="1" s="1"/>
  <c r="R101" i="1" s="1"/>
  <c r="S101" i="1" s="1"/>
  <c r="T101" i="1" s="1"/>
  <c r="U101" i="1" s="1"/>
  <c r="V101" i="1" s="1"/>
  <c r="W101" i="1" s="1"/>
  <c r="X101" i="1" s="1"/>
  <c r="Y101" i="1" s="1"/>
  <c r="Z101" i="1" s="1"/>
  <c r="AA101" i="1" s="1"/>
  <c r="AB101" i="1" s="1"/>
  <c r="AC101" i="1" s="1"/>
  <c r="AD101" i="1" s="1"/>
  <c r="AE101" i="1" s="1"/>
  <c r="AF101" i="1" s="1"/>
  <c r="AG101" i="1" s="1"/>
  <c r="AH101" i="1" s="1"/>
  <c r="AI101" i="1" s="1"/>
  <c r="AJ101" i="1" s="1"/>
  <c r="AK101" i="1" s="1"/>
  <c r="AL101" i="1" s="1"/>
  <c r="AM101" i="1" s="1"/>
  <c r="AN101" i="1" s="1"/>
  <c r="AO101" i="1" s="1"/>
  <c r="AP101" i="1" s="1"/>
  <c r="AQ101" i="1" s="1"/>
  <c r="AR101" i="1" s="1"/>
  <c r="AS101" i="1" s="1"/>
  <c r="AT101" i="1" s="1"/>
  <c r="AU101" i="1" s="1"/>
  <c r="AV101" i="1" s="1"/>
  <c r="AW101" i="1" s="1"/>
  <c r="AX101" i="1" s="1"/>
  <c r="AY101" i="1" s="1"/>
  <c r="AZ101" i="1" s="1"/>
  <c r="BA101" i="1" s="1"/>
  <c r="BB101" i="1" s="1"/>
  <c r="BC101" i="1" s="1"/>
  <c r="BD101" i="1" s="1"/>
  <c r="BE101" i="1" s="1"/>
  <c r="BF101" i="1" s="1"/>
  <c r="BG101" i="1" s="1"/>
  <c r="BH101" i="1" s="1"/>
  <c r="BI101" i="1" s="1"/>
  <c r="BJ101" i="1" s="1"/>
  <c r="BK101" i="1" s="1"/>
  <c r="BL101" i="1" s="1"/>
  <c r="BM101" i="1" s="1"/>
  <c r="BN101" i="1" s="1"/>
  <c r="BO101" i="1" s="1"/>
  <c r="BP101" i="1" s="1"/>
  <c r="BQ101" i="1" s="1"/>
  <c r="BR101" i="1" s="1"/>
  <c r="BS101" i="1" s="1"/>
  <c r="BT101" i="1" s="1"/>
  <c r="BU101" i="1" s="1"/>
  <c r="BV101" i="1" s="1"/>
  <c r="BW101" i="1" s="1"/>
  <c r="BX101" i="1" s="1"/>
  <c r="BY101" i="1" s="1"/>
  <c r="BZ101" i="1" s="1"/>
  <c r="CA101" i="1" s="1"/>
  <c r="CB101" i="1" s="1"/>
  <c r="CC101" i="1" s="1"/>
  <c r="CD101" i="1" s="1"/>
  <c r="CE101" i="1" s="1"/>
  <c r="CF101" i="1" s="1"/>
  <c r="CG101" i="1" s="1"/>
  <c r="CH101" i="1" s="1"/>
  <c r="CI101" i="1" s="1"/>
  <c r="CJ101" i="1" s="1"/>
  <c r="CK101" i="1" s="1"/>
  <c r="CL101" i="1" s="1"/>
  <c r="CM101" i="1" s="1"/>
  <c r="CN101" i="1" s="1"/>
  <c r="CO101" i="1" s="1"/>
  <c r="CP101" i="1" s="1"/>
  <c r="CQ101" i="1" s="1"/>
  <c r="CR101" i="1" s="1"/>
  <c r="CS101" i="1" s="1"/>
  <c r="CT101" i="1" s="1"/>
  <c r="CU101" i="1" s="1"/>
  <c r="CV101" i="1" s="1"/>
  <c r="CW101" i="1" s="1"/>
  <c r="CX101" i="1" s="1"/>
  <c r="CY101" i="1" s="1"/>
  <c r="CZ101" i="1" s="1"/>
  <c r="DA101" i="1" s="1"/>
  <c r="DB101" i="1" s="1"/>
  <c r="DC101" i="1" s="1"/>
  <c r="DD101" i="1" s="1"/>
  <c r="DE101" i="1" s="1"/>
  <c r="DF101" i="1" s="1"/>
  <c r="DG101" i="1" s="1"/>
  <c r="DH101" i="1" s="1"/>
  <c r="DI101" i="1" s="1"/>
  <c r="DJ101" i="1" s="1"/>
  <c r="DK101" i="1" s="1"/>
  <c r="DL101" i="1" s="1"/>
  <c r="DM101" i="1" s="1"/>
  <c r="DN101" i="1" s="1"/>
  <c r="DO101" i="1" s="1"/>
  <c r="DP101" i="1" s="1"/>
  <c r="DQ101" i="1" s="1"/>
  <c r="DR101" i="1" s="1"/>
  <c r="DS101" i="1" s="1"/>
  <c r="DT101" i="1" s="1"/>
  <c r="DU101" i="1" s="1"/>
  <c r="DV101" i="1" s="1"/>
  <c r="DW101" i="1" s="1"/>
  <c r="DX101" i="1" s="1"/>
  <c r="DY101" i="1" s="1"/>
  <c r="DZ101" i="1" s="1"/>
  <c r="EA101" i="1" s="1"/>
  <c r="EB101" i="1" s="1"/>
  <c r="EC101" i="1" s="1"/>
  <c r="ED101" i="1" s="1"/>
  <c r="EE101" i="1" s="1"/>
  <c r="EF101" i="1" s="1"/>
  <c r="EG101" i="1" s="1"/>
  <c r="EH101" i="1" s="1"/>
  <c r="EI101" i="1" s="1"/>
  <c r="EJ101" i="1" s="1"/>
  <c r="EK101" i="1" s="1"/>
  <c r="EL101" i="1" s="1"/>
  <c r="EM101" i="1" s="1"/>
  <c r="EN101" i="1" s="1"/>
  <c r="EO101" i="1" s="1"/>
  <c r="EP101" i="1" s="1"/>
  <c r="EQ101" i="1" s="1"/>
  <c r="ER101" i="1" s="1"/>
  <c r="ES101" i="1" s="1"/>
  <c r="ET101" i="1" s="1"/>
  <c r="EU101" i="1" s="1"/>
  <c r="EV101" i="1" s="1"/>
  <c r="EW101" i="1" s="1"/>
  <c r="EX101" i="1" s="1"/>
  <c r="EY101" i="1" s="1"/>
  <c r="EZ101" i="1" s="1"/>
  <c r="FA101" i="1" s="1"/>
  <c r="FB101" i="1" s="1"/>
  <c r="FC101" i="1" s="1"/>
  <c r="FD101" i="1" s="1"/>
  <c r="FE101" i="1" s="1"/>
  <c r="FF101" i="1" s="1"/>
  <c r="FG101" i="1" s="1"/>
  <c r="FH101" i="1" s="1"/>
  <c r="FI101" i="1" s="1"/>
  <c r="FJ101" i="1" s="1"/>
  <c r="FK101" i="1" s="1"/>
  <c r="FL101" i="1" s="1"/>
  <c r="FM101" i="1" s="1"/>
  <c r="FN101" i="1" s="1"/>
  <c r="FO101" i="1" s="1"/>
  <c r="FP101" i="1" s="1"/>
  <c r="FQ101" i="1" s="1"/>
  <c r="FR101" i="1" s="1"/>
  <c r="FS101" i="1" s="1"/>
  <c r="FT101" i="1" s="1"/>
  <c r="FU101" i="1" s="1"/>
  <c r="FV101" i="1" s="1"/>
  <c r="FW101" i="1" s="1"/>
  <c r="FX101" i="1" s="1"/>
  <c r="FY101" i="1" s="1"/>
  <c r="FZ101" i="1" s="1"/>
  <c r="GA101" i="1" s="1"/>
  <c r="GB101" i="1" s="1"/>
  <c r="GC101" i="1" s="1"/>
  <c r="GD101" i="1" s="1"/>
  <c r="GE101" i="1" s="1"/>
  <c r="GF101" i="1" s="1"/>
  <c r="GG101" i="1" s="1"/>
  <c r="GH101" i="1" s="1"/>
  <c r="GI101" i="1" s="1"/>
  <c r="GJ101" i="1" s="1"/>
  <c r="GK101" i="1" s="1"/>
  <c r="GL101" i="1" s="1"/>
  <c r="GM101" i="1" s="1"/>
  <c r="GN101" i="1" s="1"/>
  <c r="GO101" i="1" s="1"/>
  <c r="GP101" i="1" s="1"/>
  <c r="GQ101" i="1" s="1"/>
  <c r="GR101" i="1" s="1"/>
  <c r="GS101" i="1" s="1"/>
  <c r="GT101" i="1" s="1"/>
  <c r="GU101" i="1" s="1"/>
  <c r="GV101" i="1" s="1"/>
  <c r="GW101" i="1" s="1"/>
  <c r="GX101" i="1" s="1"/>
  <c r="GY101" i="1" s="1"/>
  <c r="GZ101" i="1" s="1"/>
  <c r="HA101" i="1" s="1"/>
  <c r="HB101" i="1" s="1"/>
  <c r="HC101" i="1" s="1"/>
  <c r="HD101" i="1" s="1"/>
  <c r="HE101" i="1" s="1"/>
  <c r="HF101" i="1" s="1"/>
  <c r="HG101" i="1" s="1"/>
  <c r="HH101" i="1" s="1"/>
  <c r="HI101" i="1" s="1"/>
  <c r="HJ101" i="1" s="1"/>
  <c r="HK101" i="1" s="1"/>
  <c r="HL101" i="1" s="1"/>
  <c r="HM101" i="1" s="1"/>
  <c r="HN101" i="1" s="1"/>
  <c r="HO101" i="1" s="1"/>
  <c r="HP101" i="1" s="1"/>
  <c r="HQ101" i="1" s="1"/>
  <c r="HR101" i="1" s="1"/>
  <c r="HS101" i="1" s="1"/>
  <c r="HT101" i="1" s="1"/>
  <c r="HU101" i="1" s="1"/>
  <c r="HV101" i="1" s="1"/>
  <c r="HW101" i="1" s="1"/>
  <c r="HX101" i="1" s="1"/>
  <c r="HY101" i="1" s="1"/>
  <c r="HZ101" i="1" s="1"/>
  <c r="IA101" i="1" s="1"/>
  <c r="IB101" i="1" s="1"/>
  <c r="IC101" i="1" s="1"/>
  <c r="S96" i="1"/>
  <c r="R96" i="1"/>
  <c r="R98" i="1" s="1"/>
  <c r="AL10" i="1"/>
  <c r="BF10" i="1" s="1"/>
  <c r="BF11" i="1" s="1"/>
  <c r="AL96" i="1"/>
  <c r="AK96" i="1"/>
  <c r="AJ96" i="1"/>
  <c r="AI96" i="1"/>
  <c r="AH96" i="1"/>
  <c r="AG96" i="1"/>
  <c r="AF96" i="1"/>
  <c r="AE96" i="1"/>
  <c r="AC96" i="1"/>
  <c r="AB96" i="1"/>
  <c r="AB98" i="1" s="1"/>
  <c r="AA96" i="1"/>
  <c r="Z96" i="1"/>
  <c r="Y96" i="1"/>
  <c r="X96" i="1"/>
  <c r="W96" i="1"/>
  <c r="U96" i="1"/>
  <c r="T96" i="1"/>
  <c r="BF96" i="1"/>
  <c r="BF98" i="1" s="1"/>
  <c r="BG98" i="1" s="1"/>
  <c r="BE96" i="1"/>
  <c r="BD96" i="1"/>
  <c r="BC96" i="1"/>
  <c r="BB96" i="1"/>
  <c r="BA96" i="1"/>
  <c r="AZ96" i="1"/>
  <c r="AY96" i="1"/>
  <c r="AW96" i="1"/>
  <c r="AV96" i="1"/>
  <c r="AV98" i="1" s="1"/>
  <c r="AV99" i="1" s="1"/>
  <c r="AU96" i="1"/>
  <c r="AT96" i="1"/>
  <c r="AS96" i="1"/>
  <c r="AR96" i="1"/>
  <c r="AP96" i="1"/>
  <c r="AO96" i="1"/>
  <c r="AN96" i="1"/>
  <c r="AM96" i="1"/>
  <c r="CT96" i="1"/>
  <c r="CT98" i="1" s="1"/>
  <c r="CT99" i="1" s="1"/>
  <c r="CS96" i="1"/>
  <c r="CR96" i="1"/>
  <c r="CQ96" i="1"/>
  <c r="CP96" i="1"/>
  <c r="CO96" i="1"/>
  <c r="CK96" i="1"/>
  <c r="CJ96" i="1"/>
  <c r="CJ98" i="1" s="1"/>
  <c r="CI96" i="1"/>
  <c r="CH96" i="1"/>
  <c r="CG96" i="1"/>
  <c r="CF96" i="1"/>
  <c r="CB96" i="1"/>
  <c r="CA96" i="1"/>
  <c r="BZ96" i="1"/>
  <c r="BZ98" i="1" s="1"/>
  <c r="CA98" i="1" s="1"/>
  <c r="BP96" i="1"/>
  <c r="BP98" i="1" s="1"/>
  <c r="BP99" i="1" s="1"/>
  <c r="GZ96" i="1"/>
  <c r="GZ98" i="1" s="1"/>
  <c r="GP96" i="1"/>
  <c r="GP98" i="1" s="1"/>
  <c r="GP99" i="1" s="1"/>
  <c r="GF96" i="1"/>
  <c r="GF98" i="1" s="1"/>
  <c r="FV96" i="1"/>
  <c r="FV98" i="1" s="1"/>
  <c r="FL96" i="1"/>
  <c r="FL98" i="1" s="1"/>
  <c r="FB96" i="1"/>
  <c r="FB98" i="1" s="1"/>
  <c r="ER96" i="1"/>
  <c r="ER98" i="1" s="1"/>
  <c r="EH96" i="1"/>
  <c r="EH98" i="1" s="1"/>
  <c r="DX96" i="1"/>
  <c r="DX98" i="1" s="1"/>
  <c r="DZ98" i="1" s="1"/>
  <c r="DN96" i="1"/>
  <c r="DN98" i="1" s="1"/>
  <c r="DO98" i="1" s="1"/>
  <c r="DP98" i="1" s="1"/>
  <c r="DD96" i="1"/>
  <c r="DD98" i="1" s="1"/>
  <c r="BY96" i="1"/>
  <c r="BX96" i="1"/>
  <c r="BW96" i="1"/>
  <c r="BV96" i="1"/>
  <c r="BU96" i="1"/>
  <c r="BQ96" i="1"/>
  <c r="BK96" i="1"/>
  <c r="BJ96" i="1"/>
  <c r="BI96" i="1"/>
  <c r="BH96" i="1"/>
  <c r="BG96" i="1"/>
  <c r="HI96" i="1"/>
  <c r="HH96" i="1"/>
  <c r="HG96" i="1"/>
  <c r="HC96" i="1"/>
  <c r="HB96" i="1"/>
  <c r="HA96" i="1"/>
  <c r="GY96" i="1"/>
  <c r="GX96" i="1"/>
  <c r="GW96" i="1"/>
  <c r="GT96" i="1"/>
  <c r="GS96" i="1"/>
  <c r="GR96" i="1"/>
  <c r="GQ96" i="1"/>
  <c r="GO96" i="1"/>
  <c r="GN96" i="1"/>
  <c r="GM96" i="1"/>
  <c r="GJ96" i="1"/>
  <c r="GI96" i="1"/>
  <c r="GH96" i="1"/>
  <c r="GG96" i="1"/>
  <c r="GE96" i="1"/>
  <c r="GD96" i="1"/>
  <c r="GC96" i="1"/>
  <c r="GA96" i="1"/>
  <c r="FZ96" i="1"/>
  <c r="FY96" i="1"/>
  <c r="FX96" i="1"/>
  <c r="FW96" i="1"/>
  <c r="FQ96" i="1"/>
  <c r="FP96" i="1"/>
  <c r="FO96" i="1"/>
  <c r="FN96" i="1"/>
  <c r="FM96" i="1"/>
  <c r="FK96" i="1"/>
  <c r="FJ96" i="1"/>
  <c r="FF96" i="1"/>
  <c r="FE96" i="1"/>
  <c r="FD96" i="1"/>
  <c r="FC96" i="1"/>
  <c r="FA96" i="1"/>
  <c r="EZ96" i="1"/>
  <c r="EY96" i="1"/>
  <c r="EV96" i="1"/>
  <c r="EU96" i="1"/>
  <c r="ET96" i="1"/>
  <c r="ES96" i="1"/>
  <c r="EQ96" i="1"/>
  <c r="EM96" i="1"/>
  <c r="EL96" i="1"/>
  <c r="EK96" i="1"/>
  <c r="EJ96" i="1"/>
  <c r="EI96" i="1"/>
  <c r="EG96" i="1"/>
  <c r="EF96" i="1"/>
  <c r="EE96" i="1"/>
  <c r="ED96" i="1"/>
  <c r="EC96" i="1"/>
  <c r="EB96" i="1"/>
  <c r="DY96" i="1"/>
  <c r="DV96" i="1"/>
  <c r="DR96" i="1"/>
  <c r="DQ96" i="1"/>
  <c r="DP96" i="1"/>
  <c r="DO96" i="1"/>
  <c r="DM96" i="1"/>
  <c r="DI96" i="1"/>
  <c r="DH96" i="1"/>
  <c r="DG96" i="1"/>
  <c r="DF96" i="1"/>
  <c r="DE96" i="1"/>
  <c r="DC96" i="1"/>
  <c r="DB96" i="1"/>
  <c r="DA96" i="1"/>
  <c r="CZ96" i="1"/>
  <c r="CW96" i="1"/>
  <c r="CV96" i="1"/>
  <c r="CU96" i="1"/>
  <c r="IK92" i="1"/>
  <c r="IK91" i="1"/>
  <c r="IK90" i="1"/>
  <c r="IK89" i="1"/>
  <c r="IK88" i="1"/>
  <c r="IK87" i="1"/>
  <c r="IK86" i="1"/>
  <c r="IK85" i="1"/>
  <c r="IK84" i="1"/>
  <c r="IK83" i="1"/>
  <c r="IK81" i="1"/>
  <c r="IK80" i="1"/>
  <c r="IK79" i="1"/>
  <c r="IK78" i="1"/>
  <c r="IK77" i="1"/>
  <c r="IK76" i="1"/>
  <c r="IK75" i="1"/>
  <c r="IK74" i="1"/>
  <c r="IK73" i="1"/>
  <c r="IK72" i="1"/>
  <c r="IK70" i="1"/>
  <c r="IK69" i="1"/>
  <c r="IK68" i="1"/>
  <c r="IK67" i="1"/>
  <c r="IK66" i="1"/>
  <c r="IK65" i="1"/>
  <c r="IK64" i="1"/>
  <c r="IK63" i="1"/>
  <c r="IK62" i="1"/>
  <c r="IK61" i="1"/>
  <c r="IK59" i="1"/>
  <c r="IK58" i="1"/>
  <c r="IK57" i="1"/>
  <c r="IK56" i="1"/>
  <c r="IK55" i="1"/>
  <c r="IK54" i="1"/>
  <c r="IK53" i="1"/>
  <c r="IK52" i="1"/>
  <c r="IK51" i="1"/>
  <c r="IK50" i="1"/>
  <c r="IK48" i="1"/>
  <c r="IK47" i="1"/>
  <c r="IK46" i="1"/>
  <c r="IK45" i="1"/>
  <c r="IK44" i="1"/>
  <c r="IK43" i="1"/>
  <c r="IK42" i="1"/>
  <c r="IK41" i="1"/>
  <c r="IK40" i="1"/>
  <c r="IK39" i="1"/>
  <c r="C92" i="1"/>
  <c r="C91" i="1"/>
  <c r="C90" i="1"/>
  <c r="C89" i="1"/>
  <c r="C88" i="1"/>
  <c r="C87" i="1"/>
  <c r="C86" i="1"/>
  <c r="C85" i="1"/>
  <c r="C84" i="1"/>
  <c r="C83" i="1"/>
  <c r="C81" i="1"/>
  <c r="C80" i="1"/>
  <c r="C79" i="1"/>
  <c r="C78" i="1"/>
  <c r="C77" i="1"/>
  <c r="C76" i="1"/>
  <c r="C75" i="1"/>
  <c r="C74" i="1"/>
  <c r="C73" i="1"/>
  <c r="C72" i="1"/>
  <c r="C70" i="1"/>
  <c r="C69" i="1"/>
  <c r="C68" i="1"/>
  <c r="C67" i="1"/>
  <c r="C66" i="1"/>
  <c r="C65" i="1"/>
  <c r="C64" i="1"/>
  <c r="C63" i="1"/>
  <c r="C62" i="1"/>
  <c r="C61" i="1"/>
  <c r="C59" i="1"/>
  <c r="C58" i="1"/>
  <c r="C57" i="1"/>
  <c r="C56" i="1"/>
  <c r="C55" i="1"/>
  <c r="C54" i="1"/>
  <c r="C53" i="1"/>
  <c r="C52" i="1"/>
  <c r="C51" i="1"/>
  <c r="C50" i="1"/>
  <c r="C48" i="1"/>
  <c r="C47" i="1"/>
  <c r="C46" i="1"/>
  <c r="C45" i="1"/>
  <c r="C44" i="1"/>
  <c r="C43" i="1"/>
  <c r="C42" i="1"/>
  <c r="C41" i="1"/>
  <c r="C40" i="1"/>
  <c r="C39" i="1"/>
  <c r="C24" i="1"/>
  <c r="C16" i="1"/>
  <c r="C17" i="1"/>
  <c r="C18" i="1"/>
  <c r="C19" i="1"/>
  <c r="C20" i="1"/>
  <c r="C21" i="1"/>
  <c r="C22" i="1"/>
  <c r="C23" i="1"/>
  <c r="C15" i="1"/>
  <c r="E2" i="2"/>
  <c r="F2" i="2" s="1"/>
  <c r="E17" i="2"/>
  <c r="D17" i="2" l="1"/>
  <c r="HY99" i="1"/>
  <c r="HZ98" i="1"/>
  <c r="HO99" i="1"/>
  <c r="HP98" i="1"/>
  <c r="DF3" i="1"/>
  <c r="AL11" i="1"/>
  <c r="AQ95" i="1" s="1"/>
  <c r="N17" i="2"/>
  <c r="O2" i="2"/>
  <c r="O17" i="2" s="1"/>
  <c r="AL98" i="1"/>
  <c r="AL99" i="1" s="1"/>
  <c r="DZ99" i="1"/>
  <c r="EA98" i="1"/>
  <c r="EA99" i="1" s="1"/>
  <c r="O3" i="2"/>
  <c r="O18" i="2" s="1"/>
  <c r="E3" i="2"/>
  <c r="E18" i="2" s="1"/>
  <c r="BS95" i="1"/>
  <c r="BM95" i="1"/>
  <c r="BT95" i="1"/>
  <c r="BN95" i="1"/>
  <c r="BO95" i="1"/>
  <c r="BR95" i="1"/>
  <c r="BL95" i="1"/>
  <c r="W95" i="1"/>
  <c r="AD95" i="1"/>
  <c r="V95" i="1"/>
  <c r="P2" i="2"/>
  <c r="P3" i="2" s="1"/>
  <c r="P18" i="2" s="1"/>
  <c r="G2" i="2"/>
  <c r="G3" i="2" s="1"/>
  <c r="G18" i="2" s="1"/>
  <c r="F3" i="2"/>
  <c r="F18" i="2" s="1"/>
  <c r="F17" i="2"/>
  <c r="DF6" i="1"/>
  <c r="DF7" i="1"/>
  <c r="DF4" i="1"/>
  <c r="DF8" i="1"/>
  <c r="DF5" i="1"/>
  <c r="FV99" i="1"/>
  <c r="FW98" i="1"/>
  <c r="FW99" i="1" s="1"/>
  <c r="EI98" i="1"/>
  <c r="EI99" i="1" s="1"/>
  <c r="EH99" i="1"/>
  <c r="BZ10" i="1"/>
  <c r="CU98" i="1"/>
  <c r="CU99" i="1" s="1"/>
  <c r="BQ98" i="1"/>
  <c r="BP95" i="1"/>
  <c r="BW95" i="1"/>
  <c r="BI95" i="1"/>
  <c r="BV95" i="1"/>
  <c r="AW98" i="1"/>
  <c r="BZ99" i="1"/>
  <c r="GG98" i="1"/>
  <c r="GG99" i="1" s="1"/>
  <c r="GF99" i="1"/>
  <c r="BK95" i="1"/>
  <c r="BF99" i="1"/>
  <c r="HA98" i="1"/>
  <c r="GZ99" i="1"/>
  <c r="CK98" i="1"/>
  <c r="CL98" i="1" s="1"/>
  <c r="CJ99" i="1"/>
  <c r="ES98" i="1"/>
  <c r="ER99" i="1"/>
  <c r="FM98" i="1"/>
  <c r="FM99" i="1" s="1"/>
  <c r="FL99" i="1"/>
  <c r="DE98" i="1"/>
  <c r="DE99" i="1" s="1"/>
  <c r="DD99" i="1"/>
  <c r="DN99" i="1"/>
  <c r="GQ98" i="1"/>
  <c r="GR98" i="1" s="1"/>
  <c r="AB95" i="1"/>
  <c r="AI95" i="1"/>
  <c r="Y95" i="1"/>
  <c r="DX99" i="1"/>
  <c r="DY98" i="1"/>
  <c r="FB99" i="1"/>
  <c r="FC98" i="1"/>
  <c r="CA99" i="1"/>
  <c r="CB98" i="1"/>
  <c r="CC98" i="1" s="1"/>
  <c r="R99" i="1"/>
  <c r="S98" i="1"/>
  <c r="BH98" i="1"/>
  <c r="BG99" i="1"/>
  <c r="DP99" i="1"/>
  <c r="DQ98" i="1"/>
  <c r="AC98" i="1"/>
  <c r="AD98" i="1" s="1"/>
  <c r="AD99" i="1" s="1"/>
  <c r="AB99" i="1"/>
  <c r="BH95" i="1"/>
  <c r="DO99" i="1"/>
  <c r="AJ95" i="1"/>
  <c r="BQ95" i="1"/>
  <c r="BF95" i="1"/>
  <c r="AG95" i="1"/>
  <c r="BJ95" i="1"/>
  <c r="BU95" i="1"/>
  <c r="T95" i="1"/>
  <c r="BG95" i="1"/>
  <c r="BY95" i="1"/>
  <c r="U95" i="1"/>
  <c r="AA95" i="1"/>
  <c r="BX95" i="1"/>
  <c r="AC95" i="1"/>
  <c r="R95" i="1"/>
  <c r="AF95" i="1"/>
  <c r="AK95" i="1"/>
  <c r="Z95" i="1"/>
  <c r="S95" i="1"/>
  <c r="AH95" i="1"/>
  <c r="AE95" i="1"/>
  <c r="X95" i="1"/>
  <c r="HP99" i="1" l="1"/>
  <c r="HQ98" i="1"/>
  <c r="HZ99" i="1"/>
  <c r="IA98" i="1"/>
  <c r="AM98" i="1"/>
  <c r="AN98" i="1" s="1"/>
  <c r="AO98" i="1" s="1"/>
  <c r="AP98" i="1" s="1"/>
  <c r="AQ98" i="1" s="1"/>
  <c r="AQ99" i="1" s="1"/>
  <c r="AP95" i="1"/>
  <c r="AT95" i="1"/>
  <c r="AZ95" i="1"/>
  <c r="BD95" i="1"/>
  <c r="AR95" i="1"/>
  <c r="BE95" i="1"/>
  <c r="AN95" i="1"/>
  <c r="AU95" i="1"/>
  <c r="AM95" i="1"/>
  <c r="AX95" i="1"/>
  <c r="AY95" i="1"/>
  <c r="AL95" i="1"/>
  <c r="BA95" i="1"/>
  <c r="BB95" i="1"/>
  <c r="AW95" i="1"/>
  <c r="BC95" i="1"/>
  <c r="AS95" i="1"/>
  <c r="AV95" i="1"/>
  <c r="AO95" i="1"/>
  <c r="H2" i="2"/>
  <c r="H17" i="2" s="1"/>
  <c r="G17" i="2"/>
  <c r="Q2" i="2"/>
  <c r="R2" i="2" s="1"/>
  <c r="AY98" i="1"/>
  <c r="AY99" i="1" s="1"/>
  <c r="AX98" i="1"/>
  <c r="AX99" i="1" s="1"/>
  <c r="P17" i="2"/>
  <c r="BQ99" i="1"/>
  <c r="BR98" i="1"/>
  <c r="CC99" i="1"/>
  <c r="CD98" i="1"/>
  <c r="CL99" i="1"/>
  <c r="CM98" i="1"/>
  <c r="CV98" i="1"/>
  <c r="CW98" i="1" s="1"/>
  <c r="GH98" i="1"/>
  <c r="GH99" i="1" s="1"/>
  <c r="FX98" i="1"/>
  <c r="FY98" i="1" s="1"/>
  <c r="FZ98" i="1" s="1"/>
  <c r="EJ98" i="1"/>
  <c r="EJ99" i="1" s="1"/>
  <c r="CT10" i="1"/>
  <c r="CT11" i="1" s="1"/>
  <c r="BZ11" i="1"/>
  <c r="DF98" i="1"/>
  <c r="DF99" i="1" s="1"/>
  <c r="AW99" i="1"/>
  <c r="FN98" i="1"/>
  <c r="FN99" i="1" s="1"/>
  <c r="CK99" i="1"/>
  <c r="HA99" i="1"/>
  <c r="HB98" i="1"/>
  <c r="GQ99" i="1"/>
  <c r="ES99" i="1"/>
  <c r="ET98" i="1"/>
  <c r="DQ99" i="1"/>
  <c r="DR98" i="1"/>
  <c r="DS98" i="1" s="1"/>
  <c r="BI98" i="1"/>
  <c r="BH99" i="1"/>
  <c r="GR99" i="1"/>
  <c r="GS98" i="1"/>
  <c r="DY99" i="1"/>
  <c r="AC99" i="1"/>
  <c r="AE98" i="1"/>
  <c r="CB99" i="1"/>
  <c r="FC99" i="1"/>
  <c r="FD98" i="1"/>
  <c r="T98" i="1"/>
  <c r="S99" i="1"/>
  <c r="I2" i="2" l="1"/>
  <c r="H3" i="2"/>
  <c r="H18" i="2" s="1"/>
  <c r="IB98" i="1"/>
  <c r="IA99" i="1"/>
  <c r="HQ99" i="1"/>
  <c r="HR98" i="1"/>
  <c r="AN99" i="1"/>
  <c r="AP99" i="1"/>
  <c r="AO99" i="1"/>
  <c r="AM99" i="1"/>
  <c r="AR98" i="1"/>
  <c r="AS98" i="1" s="1"/>
  <c r="Q3" i="2"/>
  <c r="Q18" i="2" s="1"/>
  <c r="Q17" i="2"/>
  <c r="AZ98" i="1"/>
  <c r="BA98" i="1" s="1"/>
  <c r="BA99" i="1" s="1"/>
  <c r="DS99" i="1"/>
  <c r="DT98" i="1"/>
  <c r="CE98" i="1"/>
  <c r="CE99" i="1" s="1"/>
  <c r="CD99" i="1"/>
  <c r="CW99" i="1"/>
  <c r="CX98" i="1"/>
  <c r="CN98" i="1"/>
  <c r="CN99" i="1" s="1"/>
  <c r="CM99" i="1"/>
  <c r="BR99" i="1"/>
  <c r="BS98" i="1"/>
  <c r="CN95" i="1"/>
  <c r="CE95" i="1"/>
  <c r="CL95" i="1"/>
  <c r="CC95" i="1"/>
  <c r="CM95" i="1"/>
  <c r="CD95" i="1"/>
  <c r="GI98" i="1"/>
  <c r="GI99" i="1" s="1"/>
  <c r="CV99" i="1"/>
  <c r="EK98" i="1"/>
  <c r="EK99" i="1" s="1"/>
  <c r="R17" i="2"/>
  <c r="S2" i="2"/>
  <c r="R3" i="2"/>
  <c r="R18" i="2" s="1"/>
  <c r="FY99" i="1"/>
  <c r="I3" i="2"/>
  <c r="I18" i="2" s="1"/>
  <c r="I17" i="2"/>
  <c r="J2" i="2"/>
  <c r="K2" i="2" s="1"/>
  <c r="K17" i="2" s="1"/>
  <c r="FX99" i="1"/>
  <c r="DG98" i="1"/>
  <c r="DG99" i="1" s="1"/>
  <c r="CB95" i="1"/>
  <c r="CH95" i="1"/>
  <c r="CK95" i="1"/>
  <c r="CA95" i="1"/>
  <c r="CS95" i="1"/>
  <c r="CF95" i="1"/>
  <c r="BZ95" i="1"/>
  <c r="CO95" i="1"/>
  <c r="CP95" i="1"/>
  <c r="CR95" i="1"/>
  <c r="CI95" i="1"/>
  <c r="CJ95" i="1"/>
  <c r="CG95" i="1"/>
  <c r="CQ95" i="1"/>
  <c r="DN10" i="1"/>
  <c r="FO98" i="1"/>
  <c r="FP98" i="1" s="1"/>
  <c r="HB99" i="1"/>
  <c r="HC98" i="1"/>
  <c r="HD98" i="1" s="1"/>
  <c r="EU98" i="1"/>
  <c r="ET99" i="1"/>
  <c r="U98" i="1"/>
  <c r="V98" i="1" s="1"/>
  <c r="V99" i="1" s="1"/>
  <c r="T99" i="1"/>
  <c r="BJ98" i="1"/>
  <c r="BI99" i="1"/>
  <c r="GA98" i="1"/>
  <c r="GB98" i="1" s="1"/>
  <c r="GB99" i="1" s="1"/>
  <c r="FZ99" i="1"/>
  <c r="FE98" i="1"/>
  <c r="FD99" i="1"/>
  <c r="GT98" i="1"/>
  <c r="GU98" i="1" s="1"/>
  <c r="GS99" i="1"/>
  <c r="DR99" i="1"/>
  <c r="AF98" i="1"/>
  <c r="AE99" i="1"/>
  <c r="EB98" i="1"/>
  <c r="HS98" i="1" l="1"/>
  <c r="HS99" i="1" s="1"/>
  <c r="HR99" i="1"/>
  <c r="IC98" i="1"/>
  <c r="IC99" i="1" s="1"/>
  <c r="IB99" i="1"/>
  <c r="AR99" i="1"/>
  <c r="AZ99" i="1"/>
  <c r="BB98" i="1"/>
  <c r="BC98" i="1" s="1"/>
  <c r="BC99" i="1" s="1"/>
  <c r="DU98" i="1"/>
  <c r="DU99" i="1" s="1"/>
  <c r="DT99" i="1"/>
  <c r="GV98" i="1"/>
  <c r="GV99" i="1" s="1"/>
  <c r="GU99" i="1"/>
  <c r="BT98" i="1"/>
  <c r="BT99" i="1" s="1"/>
  <c r="BS99" i="1"/>
  <c r="CY98" i="1"/>
  <c r="CX99" i="1"/>
  <c r="HD99" i="1"/>
  <c r="HE98" i="1"/>
  <c r="DJ95" i="1"/>
  <c r="DK95" i="1"/>
  <c r="CX95" i="1"/>
  <c r="DL95" i="1"/>
  <c r="CY95" i="1"/>
  <c r="GJ98" i="1"/>
  <c r="GK98" i="1" s="1"/>
  <c r="EL98" i="1"/>
  <c r="EL99" i="1" s="1"/>
  <c r="K3" i="2"/>
  <c r="K18" i="2" s="1"/>
  <c r="L2" i="2"/>
  <c r="S17" i="2"/>
  <c r="S3" i="2"/>
  <c r="S18" i="2" s="1"/>
  <c r="T2" i="2"/>
  <c r="U2" i="2" s="1"/>
  <c r="J17" i="2"/>
  <c r="J3" i="2"/>
  <c r="J18" i="2" s="1"/>
  <c r="DH98" i="1"/>
  <c r="DH99" i="1" s="1"/>
  <c r="FO99" i="1"/>
  <c r="CZ95" i="1"/>
  <c r="DH95" i="1"/>
  <c r="CV95" i="1"/>
  <c r="CT95" i="1"/>
  <c r="DI95" i="1"/>
  <c r="CW95" i="1"/>
  <c r="DF95" i="1"/>
  <c r="CU95" i="1"/>
  <c r="DB95" i="1"/>
  <c r="DG95" i="1"/>
  <c r="DM95" i="1"/>
  <c r="DD95" i="1"/>
  <c r="DE95" i="1"/>
  <c r="DC95" i="1"/>
  <c r="DA95" i="1"/>
  <c r="EH10" i="1"/>
  <c r="DN11" i="1"/>
  <c r="EV98" i="1"/>
  <c r="EW98" i="1" s="1"/>
  <c r="EU99" i="1"/>
  <c r="HC99" i="1"/>
  <c r="CO98" i="1"/>
  <c r="CF98" i="1"/>
  <c r="AT98" i="1"/>
  <c r="AS99" i="1"/>
  <c r="GT99" i="1"/>
  <c r="FQ98" i="1"/>
  <c r="FR98" i="1" s="1"/>
  <c r="FP99" i="1"/>
  <c r="AG98" i="1"/>
  <c r="AF99" i="1"/>
  <c r="FE99" i="1"/>
  <c r="FF98" i="1"/>
  <c r="FG98" i="1" s="1"/>
  <c r="BK98" i="1"/>
  <c r="BL98" i="1" s="1"/>
  <c r="BJ99" i="1"/>
  <c r="U99" i="1"/>
  <c r="W98" i="1"/>
  <c r="EB99" i="1"/>
  <c r="EC98" i="1"/>
  <c r="BD98" i="1"/>
  <c r="GC98" i="1"/>
  <c r="GA99" i="1"/>
  <c r="EM98" i="1" l="1"/>
  <c r="EN98" i="1" s="1"/>
  <c r="EN99" i="1" s="1"/>
  <c r="BB99" i="1"/>
  <c r="BU98" i="1"/>
  <c r="BV98" i="1" s="1"/>
  <c r="BW98" i="1" s="1"/>
  <c r="GK99" i="1"/>
  <c r="GL98" i="1"/>
  <c r="GL99" i="1" s="1"/>
  <c r="GJ99" i="1"/>
  <c r="FG99" i="1"/>
  <c r="FH98" i="1"/>
  <c r="HE99" i="1"/>
  <c r="HF98" i="1"/>
  <c r="HF99" i="1" s="1"/>
  <c r="EX98" i="1"/>
  <c r="EX99" i="1" s="1"/>
  <c r="EW99" i="1"/>
  <c r="BL99" i="1"/>
  <c r="BM98" i="1"/>
  <c r="CY99" i="1"/>
  <c r="CZ98" i="1"/>
  <c r="FS98" i="1"/>
  <c r="FR99" i="1"/>
  <c r="DW95" i="1"/>
  <c r="DZ95" i="1"/>
  <c r="DS95" i="1"/>
  <c r="EA95" i="1"/>
  <c r="DT95" i="1"/>
  <c r="DU95" i="1"/>
  <c r="V2" i="2"/>
  <c r="V3" i="2" s="1"/>
  <c r="U3" i="2"/>
  <c r="U18" i="2" s="1"/>
  <c r="U17" i="2"/>
  <c r="T17" i="2"/>
  <c r="T3" i="2"/>
  <c r="T18" i="2" s="1"/>
  <c r="L17" i="2"/>
  <c r="L3" i="2"/>
  <c r="L18" i="2" s="1"/>
  <c r="DI98" i="1"/>
  <c r="DJ98" i="1" s="1"/>
  <c r="ED95" i="1"/>
  <c r="DO95" i="1"/>
  <c r="DX95" i="1"/>
  <c r="DN95" i="1"/>
  <c r="DQ95" i="1"/>
  <c r="DV95" i="1"/>
  <c r="DR95" i="1"/>
  <c r="EF95" i="1"/>
  <c r="EC95" i="1"/>
  <c r="DY95" i="1"/>
  <c r="EG95" i="1"/>
  <c r="EE95" i="1"/>
  <c r="EB95" i="1"/>
  <c r="DP95" i="1"/>
  <c r="EH11" i="1"/>
  <c r="FB10" i="1"/>
  <c r="CP98" i="1"/>
  <c r="CO99" i="1"/>
  <c r="EV99" i="1"/>
  <c r="AT99" i="1"/>
  <c r="AU98" i="1"/>
  <c r="AU99" i="1" s="1"/>
  <c r="BE98" i="1"/>
  <c r="BE99" i="1" s="1"/>
  <c r="BD99" i="1"/>
  <c r="DV98" i="1"/>
  <c r="DW98" i="1" s="1"/>
  <c r="DW99" i="1" s="1"/>
  <c r="AH98" i="1"/>
  <c r="AG99" i="1"/>
  <c r="EC99" i="1"/>
  <c r="ED98" i="1"/>
  <c r="BK99" i="1"/>
  <c r="GC99" i="1"/>
  <c r="GD98" i="1"/>
  <c r="W99" i="1"/>
  <c r="X98" i="1"/>
  <c r="FQ99" i="1"/>
  <c r="FF99" i="1"/>
  <c r="GW98" i="1"/>
  <c r="CF99" i="1"/>
  <c r="CG98" i="1"/>
  <c r="BU99" i="1" l="1"/>
  <c r="GM98" i="1"/>
  <c r="GN98" i="1" s="1"/>
  <c r="EO98" i="1"/>
  <c r="EO99" i="1" s="1"/>
  <c r="BV99" i="1"/>
  <c r="EM99" i="1"/>
  <c r="DJ99" i="1"/>
  <c r="DK98" i="1"/>
  <c r="FS99" i="1"/>
  <c r="FT98" i="1"/>
  <c r="CZ99" i="1"/>
  <c r="DA98" i="1"/>
  <c r="BM99" i="1"/>
  <c r="BN98" i="1"/>
  <c r="FI98" i="1"/>
  <c r="FI99" i="1" s="1"/>
  <c r="FH99" i="1"/>
  <c r="EO95" i="1"/>
  <c r="EP95" i="1"/>
  <c r="EW95" i="1"/>
  <c r="EX95" i="1"/>
  <c r="EN95" i="1"/>
  <c r="V17" i="2"/>
  <c r="V18" i="2"/>
  <c r="DI99" i="1"/>
  <c r="FV10" i="1"/>
  <c r="FB11" i="1"/>
  <c r="EJ95" i="1"/>
  <c r="EH95" i="1"/>
  <c r="FA95" i="1"/>
  <c r="EQ95" i="1"/>
  <c r="EU95" i="1"/>
  <c r="EI95" i="1"/>
  <c r="ES95" i="1"/>
  <c r="EY95" i="1"/>
  <c r="ET95" i="1"/>
  <c r="EZ95" i="1"/>
  <c r="EM95" i="1"/>
  <c r="EV95" i="1"/>
  <c r="EK95" i="1"/>
  <c r="EL95" i="1"/>
  <c r="ER95" i="1"/>
  <c r="EY98" i="1"/>
  <c r="HG98" i="1"/>
  <c r="CP99" i="1"/>
  <c r="CQ98" i="1"/>
  <c r="EE98" i="1"/>
  <c r="ED99" i="1"/>
  <c r="DV99" i="1"/>
  <c r="GD99" i="1"/>
  <c r="GE98" i="1"/>
  <c r="GE99" i="1" s="1"/>
  <c r="BX98" i="1"/>
  <c r="BW99" i="1"/>
  <c r="GX98" i="1"/>
  <c r="GW99" i="1"/>
  <c r="X99" i="1"/>
  <c r="Y98" i="1"/>
  <c r="AH99" i="1"/>
  <c r="AI98" i="1"/>
  <c r="CH98" i="1"/>
  <c r="CG99" i="1"/>
  <c r="EP98" i="1" l="1"/>
  <c r="EP99" i="1" s="1"/>
  <c r="GM99" i="1"/>
  <c r="BN99" i="1"/>
  <c r="BO98" i="1"/>
  <c r="BO99" i="1" s="1"/>
  <c r="FT99" i="1"/>
  <c r="FU98" i="1"/>
  <c r="FU99" i="1" s="1"/>
  <c r="DB98" i="1"/>
  <c r="DA99" i="1"/>
  <c r="DL98" i="1"/>
  <c r="DL99" i="1" s="1"/>
  <c r="DK99" i="1"/>
  <c r="FR95" i="1"/>
  <c r="FI95" i="1"/>
  <c r="FS95" i="1"/>
  <c r="FT95" i="1"/>
  <c r="FG95" i="1"/>
  <c r="FU95" i="1"/>
  <c r="FH95" i="1"/>
  <c r="FV11" i="1"/>
  <c r="GP10" i="1"/>
  <c r="FD95" i="1"/>
  <c r="FE95" i="1"/>
  <c r="FJ95" i="1"/>
  <c r="FL95" i="1"/>
  <c r="FO95" i="1"/>
  <c r="FQ95" i="1"/>
  <c r="FN95" i="1"/>
  <c r="FB95" i="1"/>
  <c r="FK95" i="1"/>
  <c r="FF95" i="1"/>
  <c r="FP95" i="1"/>
  <c r="FM95" i="1"/>
  <c r="FC95" i="1"/>
  <c r="CQ99" i="1"/>
  <c r="CR98" i="1"/>
  <c r="GN99" i="1"/>
  <c r="GO98" i="1"/>
  <c r="GO99" i="1" s="1"/>
  <c r="HG99" i="1"/>
  <c r="HH98" i="1"/>
  <c r="EY99" i="1"/>
  <c r="EZ98" i="1"/>
  <c r="AJ98" i="1"/>
  <c r="AI99" i="1"/>
  <c r="Y99" i="1"/>
  <c r="Z98" i="1"/>
  <c r="CH99" i="1"/>
  <c r="CI98" i="1"/>
  <c r="CI99" i="1" s="1"/>
  <c r="GY98" i="1"/>
  <c r="GY99" i="1" s="1"/>
  <c r="GX99" i="1"/>
  <c r="FJ98" i="1"/>
  <c r="DM98" i="1"/>
  <c r="DM99" i="1" s="1"/>
  <c r="EQ98" i="1"/>
  <c r="EQ99" i="1" s="1"/>
  <c r="BX99" i="1"/>
  <c r="BY98" i="1"/>
  <c r="BY99" i="1" s="1"/>
  <c r="EE99" i="1"/>
  <c r="EF98" i="1"/>
  <c r="GP11" i="1" l="1"/>
  <c r="HJ10" i="1"/>
  <c r="HJ11" i="1" s="1"/>
  <c r="DC98" i="1"/>
  <c r="DC99" i="1" s="1"/>
  <c r="DB99" i="1"/>
  <c r="GB95" i="1"/>
  <c r="GK95" i="1"/>
  <c r="GL95" i="1"/>
  <c r="GM95" i="1"/>
  <c r="GF95" i="1"/>
  <c r="FZ95" i="1"/>
  <c r="GC95" i="1"/>
  <c r="GD95" i="1"/>
  <c r="FY95" i="1"/>
  <c r="GJ95" i="1"/>
  <c r="FW95" i="1"/>
  <c r="FV95" i="1"/>
  <c r="GH95" i="1"/>
  <c r="GO95" i="1"/>
  <c r="GA95" i="1"/>
  <c r="FX95" i="1"/>
  <c r="GE95" i="1"/>
  <c r="GI95" i="1"/>
  <c r="GN95" i="1"/>
  <c r="GG95" i="1"/>
  <c r="HH99" i="1"/>
  <c r="HI98" i="1"/>
  <c r="HI99" i="1" s="1"/>
  <c r="EZ99" i="1"/>
  <c r="FA98" i="1"/>
  <c r="FA99" i="1" s="1"/>
  <c r="CS98" i="1"/>
  <c r="CS99" i="1" s="1"/>
  <c r="CR99" i="1"/>
  <c r="EF99" i="1"/>
  <c r="EG98" i="1"/>
  <c r="EG99" i="1" s="1"/>
  <c r="FJ99" i="1"/>
  <c r="FK98" i="1"/>
  <c r="FK99" i="1" s="1"/>
  <c r="Z99" i="1"/>
  <c r="AA98" i="1"/>
  <c r="AA99" i="1" s="1"/>
  <c r="AK98" i="1"/>
  <c r="AK99" i="1" s="1"/>
  <c r="AJ99" i="1"/>
  <c r="HK95" i="1" l="1"/>
  <c r="IA95" i="1"/>
  <c r="HL95" i="1"/>
  <c r="IB95" i="1"/>
  <c r="HM95" i="1"/>
  <c r="IC95" i="1"/>
  <c r="HN95" i="1"/>
  <c r="HJ95" i="1"/>
  <c r="HO95" i="1"/>
  <c r="HP95" i="1"/>
  <c r="HQ95" i="1"/>
  <c r="HS95" i="1"/>
  <c r="HR95" i="1"/>
  <c r="HT95" i="1"/>
  <c r="HX95" i="1"/>
  <c r="HY95" i="1"/>
  <c r="HU95" i="1"/>
  <c r="HW95" i="1"/>
  <c r="HV95" i="1"/>
  <c r="HZ95" i="1"/>
  <c r="HF95" i="1"/>
  <c r="GU95" i="1"/>
  <c r="GV95" i="1"/>
  <c r="HD95" i="1"/>
  <c r="HE95" i="1"/>
  <c r="HC95" i="1"/>
  <c r="GW95" i="1"/>
  <c r="HA95" i="1"/>
  <c r="GP95" i="1"/>
  <c r="GY95" i="1"/>
  <c r="HG95" i="1"/>
  <c r="HI95" i="1"/>
  <c r="HH95" i="1"/>
  <c r="GQ95" i="1"/>
  <c r="GR95" i="1"/>
  <c r="GX95" i="1"/>
  <c r="GT95" i="1"/>
  <c r="GZ95" i="1"/>
  <c r="HB95" i="1"/>
  <c r="GS95" i="1"/>
</calcChain>
</file>

<file path=xl/sharedStrings.xml><?xml version="1.0" encoding="utf-8"?>
<sst xmlns="http://schemas.openxmlformats.org/spreadsheetml/2006/main" count="442" uniqueCount="214">
  <si>
    <t>先行</t>
    <rPh sb="0" eb="2">
      <t>センコウ</t>
    </rPh>
    <phoneticPr fontId="2"/>
  </si>
  <si>
    <t>限</t>
    <rPh sb="0" eb="1">
      <t>ゲン</t>
    </rPh>
    <phoneticPr fontId="2"/>
  </si>
  <si>
    <t>分</t>
    <rPh sb="0" eb="1">
      <t>フン</t>
    </rPh>
    <phoneticPr fontId="2"/>
  </si>
  <si>
    <t>担当</t>
    <rPh sb="0" eb="2">
      <t>タントウ</t>
    </rPh>
    <phoneticPr fontId="2"/>
  </si>
  <si>
    <t>作業項目</t>
    <rPh sb="0" eb="2">
      <t>サギョウ</t>
    </rPh>
    <rPh sb="2" eb="4">
      <t>コウモク</t>
    </rPh>
    <phoneticPr fontId="2"/>
  </si>
  <si>
    <t>A1</t>
    <phoneticPr fontId="2"/>
  </si>
  <si>
    <t>B1</t>
    <phoneticPr fontId="2"/>
  </si>
  <si>
    <t>B2</t>
    <phoneticPr fontId="2"/>
  </si>
  <si>
    <t>B3</t>
    <phoneticPr fontId="2"/>
  </si>
  <si>
    <t>B4</t>
    <phoneticPr fontId="2"/>
  </si>
  <si>
    <t>B5</t>
    <phoneticPr fontId="2"/>
  </si>
  <si>
    <t>B6</t>
    <phoneticPr fontId="2"/>
  </si>
  <si>
    <t>B7</t>
    <phoneticPr fontId="2"/>
  </si>
  <si>
    <t>項番</t>
    <rPh sb="0" eb="1">
      <t>コウ</t>
    </rPh>
    <rPh sb="1" eb="2">
      <t>バン</t>
    </rPh>
    <phoneticPr fontId="2"/>
  </si>
  <si>
    <t>C1</t>
    <phoneticPr fontId="2"/>
  </si>
  <si>
    <t>C2</t>
    <phoneticPr fontId="2"/>
  </si>
  <si>
    <t>C3</t>
    <phoneticPr fontId="2"/>
  </si>
  <si>
    <t>C4</t>
    <phoneticPr fontId="2"/>
  </si>
  <si>
    <t>C5</t>
    <phoneticPr fontId="2"/>
  </si>
  <si>
    <t>C6</t>
    <phoneticPr fontId="2"/>
  </si>
  <si>
    <t>D1</t>
    <phoneticPr fontId="2"/>
  </si>
  <si>
    <t>D2</t>
    <phoneticPr fontId="2"/>
  </si>
  <si>
    <t>D3</t>
    <phoneticPr fontId="2"/>
  </si>
  <si>
    <t>D4</t>
    <phoneticPr fontId="2"/>
  </si>
  <si>
    <t>D5</t>
    <phoneticPr fontId="2"/>
  </si>
  <si>
    <t>D6</t>
    <phoneticPr fontId="2"/>
  </si>
  <si>
    <t>E1</t>
    <phoneticPr fontId="2"/>
  </si>
  <si>
    <t>E2</t>
    <phoneticPr fontId="2"/>
  </si>
  <si>
    <t>E3</t>
    <phoneticPr fontId="2"/>
  </si>
  <si>
    <t>E4</t>
    <phoneticPr fontId="2"/>
  </si>
  <si>
    <t>E5</t>
    <phoneticPr fontId="2"/>
  </si>
  <si>
    <t>E6</t>
    <phoneticPr fontId="2"/>
  </si>
  <si>
    <t>E8</t>
    <phoneticPr fontId="2"/>
  </si>
  <si>
    <t>E9</t>
    <phoneticPr fontId="2"/>
  </si>
  <si>
    <t>演習開催日</t>
    <rPh sb="0" eb="2">
      <t>エンシュウ</t>
    </rPh>
    <rPh sb="2" eb="5">
      <t>カイサイビ</t>
    </rPh>
    <phoneticPr fontId="2"/>
  </si>
  <si>
    <t>実績</t>
    <rPh sb="0" eb="2">
      <t>ジッセキ</t>
    </rPh>
    <phoneticPr fontId="2"/>
  </si>
  <si>
    <t>進捗率</t>
    <rPh sb="0" eb="2">
      <t>シンチョク</t>
    </rPh>
    <rPh sb="2" eb="3">
      <t>リツ</t>
    </rPh>
    <phoneticPr fontId="2"/>
  </si>
  <si>
    <t>期間</t>
    <rPh sb="0" eb="2">
      <t>キカン</t>
    </rPh>
    <phoneticPr fontId="2"/>
  </si>
  <si>
    <t>担当者番号</t>
    <rPh sb="0" eb="3">
      <t>タントウシャ</t>
    </rPh>
    <rPh sb="3" eb="5">
      <t>バンゴウ</t>
    </rPh>
    <phoneticPr fontId="2"/>
  </si>
  <si>
    <t>F1</t>
    <phoneticPr fontId="2"/>
  </si>
  <si>
    <t>F3</t>
    <phoneticPr fontId="2"/>
  </si>
  <si>
    <t>F4</t>
    <phoneticPr fontId="2"/>
  </si>
  <si>
    <t>F5</t>
    <phoneticPr fontId="2"/>
  </si>
  <si>
    <t>F6</t>
    <phoneticPr fontId="2"/>
  </si>
  <si>
    <t>B8</t>
    <phoneticPr fontId="2"/>
  </si>
  <si>
    <t>B9</t>
    <phoneticPr fontId="2"/>
  </si>
  <si>
    <t>B10</t>
    <phoneticPr fontId="2"/>
  </si>
  <si>
    <t>C8</t>
    <phoneticPr fontId="2"/>
  </si>
  <si>
    <t>C9</t>
    <phoneticPr fontId="2"/>
  </si>
  <si>
    <t>C10</t>
    <phoneticPr fontId="2"/>
  </si>
  <si>
    <t>D8</t>
    <phoneticPr fontId="2"/>
  </si>
  <si>
    <t>D9</t>
    <phoneticPr fontId="2"/>
  </si>
  <si>
    <t>D10</t>
    <phoneticPr fontId="2"/>
  </si>
  <si>
    <t>E10</t>
    <phoneticPr fontId="2"/>
  </si>
  <si>
    <t>F8</t>
    <phoneticPr fontId="2"/>
  </si>
  <si>
    <t>F9</t>
    <phoneticPr fontId="2"/>
  </si>
  <si>
    <t>F10</t>
    <phoneticPr fontId="2"/>
  </si>
  <si>
    <t>ﾊﾞｰの色</t>
    <rPh sb="4" eb="5">
      <t>イロ</t>
    </rPh>
    <phoneticPr fontId="2"/>
  </si>
  <si>
    <t>開発メンバー</t>
    <rPh sb="0" eb="2">
      <t>カイハツ</t>
    </rPh>
    <phoneticPr fontId="2"/>
  </si>
  <si>
    <t>番号</t>
    <rPh sb="0" eb="2">
      <t>バンゴウ</t>
    </rPh>
    <phoneticPr fontId="2"/>
  </si>
  <si>
    <t>開発実施計画書</t>
    <rPh sb="0" eb="2">
      <t>カイハツ</t>
    </rPh>
    <rPh sb="2" eb="4">
      <t>ジッシ</t>
    </rPh>
    <rPh sb="4" eb="6">
      <t>ケイカク</t>
    </rPh>
    <rPh sb="6" eb="7">
      <t>ショ</t>
    </rPh>
    <phoneticPr fontId="2"/>
  </si>
  <si>
    <t>案件名</t>
    <rPh sb="0" eb="2">
      <t>アンケン</t>
    </rPh>
    <rPh sb="2" eb="3">
      <t>メイ</t>
    </rPh>
    <phoneticPr fontId="2"/>
  </si>
  <si>
    <t>チーム名</t>
    <rPh sb="3" eb="4">
      <t>メイ</t>
    </rPh>
    <phoneticPr fontId="2"/>
  </si>
  <si>
    <t>開発期間</t>
    <rPh sb="0" eb="2">
      <t>カイハツ</t>
    </rPh>
    <rPh sb="2" eb="4">
      <t>キカン</t>
    </rPh>
    <phoneticPr fontId="2"/>
  </si>
  <si>
    <t>確</t>
  </si>
  <si>
    <t>顧客</t>
    <rPh sb="0" eb="2">
      <t>コキャク</t>
    </rPh>
    <phoneticPr fontId="2"/>
  </si>
  <si>
    <t>PL</t>
    <phoneticPr fontId="2"/>
  </si>
  <si>
    <t>認</t>
    <rPh sb="0" eb="1">
      <t>ニン</t>
    </rPh>
    <phoneticPr fontId="2"/>
  </si>
  <si>
    <t>欄</t>
    <rPh sb="0" eb="1">
      <t>ラン</t>
    </rPh>
    <phoneticPr fontId="2"/>
  </si>
  <si>
    <t>担当未割り当て</t>
    <phoneticPr fontId="2"/>
  </si>
  <si>
    <t>予定</t>
    <rPh sb="0" eb="2">
      <t>ヨテイ</t>
    </rPh>
    <phoneticPr fontId="2"/>
  </si>
  <si>
    <t>更新ﾌﾗｸﾞ</t>
    <rPh sb="0" eb="2">
      <t>コウシン</t>
    </rPh>
    <phoneticPr fontId="2"/>
  </si>
  <si>
    <t>期間</t>
  </si>
  <si>
    <t>開始日</t>
    <rPh sb="0" eb="2">
      <t>カイシ</t>
    </rPh>
    <rPh sb="2" eb="3">
      <t>ニチ</t>
    </rPh>
    <phoneticPr fontId="2"/>
  </si>
  <si>
    <t>設計</t>
    <rPh sb="0" eb="2">
      <t>セッケイ</t>
    </rPh>
    <phoneticPr fontId="2"/>
  </si>
  <si>
    <t>実装</t>
    <rPh sb="0" eb="2">
      <t>ジッソウ</t>
    </rPh>
    <phoneticPr fontId="2"/>
  </si>
  <si>
    <t>テスト</t>
    <phoneticPr fontId="2"/>
  </si>
  <si>
    <t>A2</t>
    <phoneticPr fontId="2"/>
  </si>
  <si>
    <t>A3</t>
    <phoneticPr fontId="2"/>
  </si>
  <si>
    <t>A4</t>
    <phoneticPr fontId="2"/>
  </si>
  <si>
    <t>A5</t>
    <phoneticPr fontId="2"/>
  </si>
  <si>
    <t>A6</t>
    <phoneticPr fontId="2"/>
  </si>
  <si>
    <t>A7</t>
    <phoneticPr fontId="2"/>
  </si>
  <si>
    <t>A8</t>
    <phoneticPr fontId="2"/>
  </si>
  <si>
    <t>A9</t>
    <phoneticPr fontId="2"/>
  </si>
  <si>
    <t>A10</t>
    <phoneticPr fontId="2"/>
  </si>
  <si>
    <t>C7</t>
    <phoneticPr fontId="2"/>
  </si>
  <si>
    <t>D7</t>
    <phoneticPr fontId="2"/>
  </si>
  <si>
    <t>E7</t>
    <phoneticPr fontId="2"/>
  </si>
  <si>
    <t>F2</t>
    <phoneticPr fontId="2"/>
  </si>
  <si>
    <t>F7</t>
    <phoneticPr fontId="2"/>
  </si>
  <si>
    <t>集計情報</t>
    <rPh sb="0" eb="2">
      <t>シュウケイ</t>
    </rPh>
    <rPh sb="2" eb="4">
      <t>ジョウホウ</t>
    </rPh>
    <phoneticPr fontId="2"/>
  </si>
  <si>
    <t>調査分析</t>
    <rPh sb="0" eb="2">
      <t>チョウサ</t>
    </rPh>
    <rPh sb="2" eb="4">
      <t>ブンセキ</t>
    </rPh>
    <phoneticPr fontId="2"/>
  </si>
  <si>
    <t>その他/レビュー等</t>
    <rPh sb="2" eb="3">
      <t>タ</t>
    </rPh>
    <rPh sb="8" eb="9">
      <t>トウ</t>
    </rPh>
    <phoneticPr fontId="2"/>
  </si>
  <si>
    <t>A</t>
    <phoneticPr fontId="2"/>
  </si>
  <si>
    <t>B</t>
    <phoneticPr fontId="2"/>
  </si>
  <si>
    <t>C</t>
    <phoneticPr fontId="2"/>
  </si>
  <si>
    <t>D</t>
    <phoneticPr fontId="2"/>
  </si>
  <si>
    <t>E</t>
    <phoneticPr fontId="2"/>
  </si>
  <si>
    <t>F</t>
    <phoneticPr fontId="2"/>
  </si>
  <si>
    <t>進捗</t>
    <rPh sb="0" eb="2">
      <t>シンチョク</t>
    </rPh>
    <phoneticPr fontId="2"/>
  </si>
  <si>
    <t>1セルの時間</t>
    <rPh sb="4" eb="6">
      <t>ジカン</t>
    </rPh>
    <phoneticPr fontId="2"/>
  </si>
  <si>
    <t>限目の開始時間</t>
    <rPh sb="0" eb="1">
      <t>ゲン</t>
    </rPh>
    <rPh sb="1" eb="2">
      <t>メ</t>
    </rPh>
    <rPh sb="3" eb="5">
      <t>カイシ</t>
    </rPh>
    <rPh sb="5" eb="7">
      <t>ジカン</t>
    </rPh>
    <phoneticPr fontId="2"/>
  </si>
  <si>
    <t>各セルの担当時刻</t>
    <rPh sb="0" eb="1">
      <t>カク</t>
    </rPh>
    <rPh sb="4" eb="6">
      <t>タントウ</t>
    </rPh>
    <rPh sb="6" eb="8">
      <t>ジコク</t>
    </rPh>
    <phoneticPr fontId="2"/>
  </si>
  <si>
    <t>開始日</t>
    <rPh sb="0" eb="2">
      <t>カイシ</t>
    </rPh>
    <rPh sb="2" eb="3">
      <t>ビ</t>
    </rPh>
    <phoneticPr fontId="2"/>
  </si>
  <si>
    <t/>
  </si>
  <si>
    <t>完了日時</t>
    <rPh sb="0" eb="2">
      <t>カンリョウ</t>
    </rPh>
    <rPh sb="2" eb="4">
      <t>ニチジ</t>
    </rPh>
    <phoneticPr fontId="2"/>
  </si>
  <si>
    <t>作業実績</t>
    <rPh sb="0" eb="2">
      <t>サギョウ</t>
    </rPh>
    <rPh sb="2" eb="4">
      <t>ジッセキ</t>
    </rPh>
    <phoneticPr fontId="2"/>
  </si>
  <si>
    <t>ｽｹｼﾞｭｰﾙ変更日</t>
    <rPh sb="7" eb="9">
      <t>ヘンコウ</t>
    </rPh>
    <rPh sb="9" eb="10">
      <t>ビ</t>
    </rPh>
    <phoneticPr fontId="2"/>
  </si>
  <si>
    <t>A11</t>
  </si>
  <si>
    <t>共同開発チーム</t>
    <rPh sb="0" eb="2">
      <t>キョウドウ</t>
    </rPh>
    <rPh sb="2" eb="4">
      <t>カイハツ</t>
    </rPh>
    <phoneticPr fontId="2"/>
  </si>
  <si>
    <t>A12</t>
  </si>
  <si>
    <t>　</t>
    <phoneticPr fontId="2"/>
  </si>
  <si>
    <t>バーカラーNome</t>
    <phoneticPr fontId="2"/>
  </si>
  <si>
    <t>調査・分析</t>
    <rPh sb="0" eb="2">
      <t>チョウサ</t>
    </rPh>
    <rPh sb="3" eb="5">
      <t>ブンセキ</t>
    </rPh>
    <phoneticPr fontId="2"/>
  </si>
  <si>
    <t>マスタースケジュール</t>
    <phoneticPr fontId="2"/>
  </si>
  <si>
    <t>メンバー名</t>
    <phoneticPr fontId="2"/>
  </si>
  <si>
    <t>－</t>
    <phoneticPr fontId="2"/>
  </si>
  <si>
    <t>予定入力欄</t>
    <rPh sb="0" eb="2">
      <t>ヨテイ</t>
    </rPh>
    <rPh sb="2" eb="4">
      <t>ニュウリョク</t>
    </rPh>
    <rPh sb="4" eb="5">
      <t>ラン</t>
    </rPh>
    <phoneticPr fontId="2"/>
  </si>
  <si>
    <t>実績入力欄</t>
    <rPh sb="0" eb="2">
      <t>ジッセキ</t>
    </rPh>
    <rPh sb="2" eb="4">
      <t>ニュウリョク</t>
    </rPh>
    <rPh sb="4" eb="5">
      <t>ラン</t>
    </rPh>
    <phoneticPr fontId="2"/>
  </si>
  <si>
    <t>A13</t>
  </si>
  <si>
    <t>A14</t>
  </si>
  <si>
    <t>A15</t>
  </si>
  <si>
    <t>A16</t>
  </si>
  <si>
    <t>A17</t>
  </si>
  <si>
    <t>マイルストーン</t>
    <phoneticPr fontId="2"/>
  </si>
  <si>
    <t>講義</t>
    <rPh sb="0" eb="2">
      <t>コウギ</t>
    </rPh>
    <phoneticPr fontId="2"/>
  </si>
  <si>
    <t>オリエンテーション</t>
    <phoneticPr fontId="2"/>
  </si>
  <si>
    <t>オリエンテーション</t>
    <phoneticPr fontId="2"/>
  </si>
  <si>
    <t>要件定義</t>
    <rPh sb="0" eb="2">
      <t>ヨウケン</t>
    </rPh>
    <rPh sb="2" eb="4">
      <t>テイギ</t>
    </rPh>
    <phoneticPr fontId="2"/>
  </si>
  <si>
    <t>構想設計</t>
    <rPh sb="0" eb="2">
      <t>コウソウ</t>
    </rPh>
    <rPh sb="2" eb="4">
      <t>セッケイ</t>
    </rPh>
    <phoneticPr fontId="2"/>
  </si>
  <si>
    <t>基本設計</t>
    <rPh sb="0" eb="2">
      <t>キホン</t>
    </rPh>
    <rPh sb="2" eb="4">
      <t>セッケイ</t>
    </rPh>
    <phoneticPr fontId="2"/>
  </si>
  <si>
    <t>詳細設計</t>
    <rPh sb="0" eb="2">
      <t>ショウサイ</t>
    </rPh>
    <rPh sb="2" eb="4">
      <t>セッケイ</t>
    </rPh>
    <phoneticPr fontId="2"/>
  </si>
  <si>
    <t>システムテスト設計</t>
    <rPh sb="7" eb="9">
      <t>セッケイ</t>
    </rPh>
    <phoneticPr fontId="2"/>
  </si>
  <si>
    <t>結合テスト設計</t>
    <rPh sb="0" eb="2">
      <t>ケツゴウ</t>
    </rPh>
    <rPh sb="5" eb="7">
      <t>セッケイ</t>
    </rPh>
    <phoneticPr fontId="2"/>
  </si>
  <si>
    <t>結合テスト</t>
    <rPh sb="0" eb="2">
      <t>ケツゴウ</t>
    </rPh>
    <phoneticPr fontId="2"/>
  </si>
  <si>
    <t>システムテスト</t>
    <phoneticPr fontId="2"/>
  </si>
  <si>
    <t>A18</t>
  </si>
  <si>
    <t>レビュー(要件定義1回目)</t>
    <rPh sb="5" eb="7">
      <t>ヨウケン</t>
    </rPh>
    <rPh sb="7" eb="9">
      <t>テイギ</t>
    </rPh>
    <rPh sb="10" eb="12">
      <t>カイメ</t>
    </rPh>
    <phoneticPr fontId="2"/>
  </si>
  <si>
    <t>レビュー(要件定義2回目)</t>
    <rPh sb="5" eb="7">
      <t>ヨウケン</t>
    </rPh>
    <rPh sb="7" eb="9">
      <t>テイギ</t>
    </rPh>
    <rPh sb="10" eb="12">
      <t>カイメ</t>
    </rPh>
    <phoneticPr fontId="2"/>
  </si>
  <si>
    <t>レビュー(構想設計1回目)</t>
    <rPh sb="5" eb="7">
      <t>コウソウ</t>
    </rPh>
    <rPh sb="7" eb="9">
      <t>セッケイ</t>
    </rPh>
    <rPh sb="10" eb="12">
      <t>カイメ</t>
    </rPh>
    <phoneticPr fontId="2"/>
  </si>
  <si>
    <t>レビュー(構想設計2回目)</t>
    <rPh sb="5" eb="7">
      <t>コウソウ</t>
    </rPh>
    <rPh sb="7" eb="9">
      <t>セッケイ</t>
    </rPh>
    <rPh sb="10" eb="12">
      <t>カイメ</t>
    </rPh>
    <phoneticPr fontId="2"/>
  </si>
  <si>
    <t>A19</t>
  </si>
  <si>
    <t>レビュー(基本設計1回目)</t>
    <rPh sb="5" eb="7">
      <t>キホン</t>
    </rPh>
    <rPh sb="7" eb="9">
      <t>セッケイ</t>
    </rPh>
    <rPh sb="10" eb="12">
      <t>カイメ</t>
    </rPh>
    <phoneticPr fontId="2"/>
  </si>
  <si>
    <t>レビュー(基本設計2回目)</t>
    <rPh sb="5" eb="7">
      <t>キホン</t>
    </rPh>
    <rPh sb="7" eb="9">
      <t>セッケイ</t>
    </rPh>
    <rPh sb="10" eb="12">
      <t>カイメ</t>
    </rPh>
    <phoneticPr fontId="2"/>
  </si>
  <si>
    <t>レビュー(システムテスト設計1回目)</t>
    <rPh sb="12" eb="14">
      <t>セッケイ</t>
    </rPh>
    <rPh sb="15" eb="17">
      <t>カイメ</t>
    </rPh>
    <phoneticPr fontId="2"/>
  </si>
  <si>
    <t>レビュー(システムテスト設計2回目)</t>
    <rPh sb="12" eb="14">
      <t>セッケイ</t>
    </rPh>
    <rPh sb="15" eb="17">
      <t>カイメ</t>
    </rPh>
    <phoneticPr fontId="2"/>
  </si>
  <si>
    <t>A20</t>
  </si>
  <si>
    <t>その他</t>
    <rPh sb="2" eb="3">
      <t>タ</t>
    </rPh>
    <phoneticPr fontId="2"/>
  </si>
  <si>
    <t>納品準備</t>
    <rPh sb="0" eb="2">
      <t>ノウヒン</t>
    </rPh>
    <rPh sb="2" eb="4">
      <t>ジュンビ</t>
    </rPh>
    <phoneticPr fontId="2"/>
  </si>
  <si>
    <t>納品</t>
    <rPh sb="0" eb="2">
      <t>ノウヒン</t>
    </rPh>
    <phoneticPr fontId="2"/>
  </si>
  <si>
    <t>講義</t>
    <phoneticPr fontId="2"/>
  </si>
  <si>
    <t>A21</t>
  </si>
  <si>
    <t>講義</t>
  </si>
  <si>
    <t>中間講評</t>
  </si>
  <si>
    <t>中間講評</t>
    <phoneticPr fontId="2"/>
  </si>
  <si>
    <t>納品</t>
    <phoneticPr fontId="2"/>
  </si>
  <si>
    <t>講義</t>
    <phoneticPr fontId="2"/>
  </si>
  <si>
    <t>10/03 11:20</t>
    <phoneticPr fontId="2"/>
  </si>
  <si>
    <t>12/12 09:40</t>
    <phoneticPr fontId="2"/>
  </si>
  <si>
    <t>10/24 10:40</t>
    <phoneticPr fontId="2"/>
  </si>
  <si>
    <t>講義</t>
    <phoneticPr fontId="2"/>
  </si>
  <si>
    <t>12/05 09:40</t>
    <phoneticPr fontId="2"/>
  </si>
  <si>
    <t>11/28 10:10</t>
    <phoneticPr fontId="2"/>
  </si>
  <si>
    <t>12/05 12:40</t>
    <phoneticPr fontId="2"/>
  </si>
  <si>
    <t>ポイフル</t>
    <phoneticPr fontId="2"/>
  </si>
  <si>
    <t>10/17 11:30</t>
    <phoneticPr fontId="2"/>
  </si>
  <si>
    <t>10/24 11:20</t>
    <phoneticPr fontId="2"/>
  </si>
  <si>
    <t>10/31 10:20</t>
    <phoneticPr fontId="2"/>
  </si>
  <si>
    <t>11/14 09:50</t>
    <phoneticPr fontId="2"/>
  </si>
  <si>
    <t>11/14 09:40</t>
    <phoneticPr fontId="2"/>
  </si>
  <si>
    <t>10/31 10:40</t>
    <phoneticPr fontId="2"/>
  </si>
  <si>
    <t>11/07 09:50</t>
    <phoneticPr fontId="2"/>
  </si>
  <si>
    <t>11/21 10:00</t>
    <phoneticPr fontId="2"/>
  </si>
  <si>
    <t>11/28 11:20</t>
    <phoneticPr fontId="2"/>
  </si>
  <si>
    <t>12/12 09:30</t>
    <phoneticPr fontId="2"/>
  </si>
  <si>
    <t>12/12 10:00</t>
    <phoneticPr fontId="2"/>
  </si>
  <si>
    <t>12/12 10:30</t>
    <phoneticPr fontId="2"/>
  </si>
  <si>
    <t>A22</t>
  </si>
  <si>
    <t>A23</t>
  </si>
  <si>
    <t>仲山</t>
  </si>
  <si>
    <t>仲山</t>
    <rPh sb="0" eb="2">
      <t>ナカヤマ</t>
    </rPh>
    <phoneticPr fontId="2"/>
  </si>
  <si>
    <t>鷲崎</t>
  </si>
  <si>
    <t>鷲崎</t>
    <rPh sb="0" eb="2">
      <t>ワシザキ</t>
    </rPh>
    <phoneticPr fontId="2"/>
  </si>
  <si>
    <t>唐川</t>
  </si>
  <si>
    <t>唐川</t>
    <rPh sb="0" eb="2">
      <t>カラカワ</t>
    </rPh>
    <phoneticPr fontId="2"/>
  </si>
  <si>
    <t>瓜生</t>
  </si>
  <si>
    <t>瓜生</t>
    <rPh sb="0" eb="2">
      <t>ウリュウ</t>
    </rPh>
    <phoneticPr fontId="2"/>
  </si>
  <si>
    <t>江頭</t>
  </si>
  <si>
    <t>江頭</t>
    <rPh sb="0" eb="2">
      <t>エガシラ</t>
    </rPh>
    <phoneticPr fontId="2"/>
  </si>
  <si>
    <t>池田</t>
  </si>
  <si>
    <t>池田</t>
    <rPh sb="0" eb="2">
      <t>イケダ</t>
    </rPh>
    <phoneticPr fontId="2"/>
  </si>
  <si>
    <t>食べログの調査</t>
    <rPh sb="0" eb="1">
      <t>タ</t>
    </rPh>
    <rPh sb="5" eb="7">
      <t>チョウサ</t>
    </rPh>
    <phoneticPr fontId="2"/>
  </si>
  <si>
    <t>10/03 10:20</t>
    <phoneticPr fontId="2"/>
  </si>
  <si>
    <t>機能一覧を書いた</t>
    <rPh sb="0" eb="2">
      <t>キノウ</t>
    </rPh>
    <rPh sb="2" eb="4">
      <t>イチラン</t>
    </rPh>
    <rPh sb="5" eb="6">
      <t>カ</t>
    </rPh>
    <phoneticPr fontId="2"/>
  </si>
  <si>
    <t>商品名コンセプトを書いた</t>
    <rPh sb="0" eb="3">
      <t>ショウヒンメイ</t>
    </rPh>
    <rPh sb="9" eb="10">
      <t>カ</t>
    </rPh>
    <phoneticPr fontId="2"/>
  </si>
  <si>
    <t>10/03 09:50</t>
    <phoneticPr fontId="2"/>
  </si>
  <si>
    <t>10/03 12:20</t>
    <phoneticPr fontId="2"/>
  </si>
  <si>
    <t>確認・修正作業</t>
    <rPh sb="0" eb="2">
      <t>カクニン</t>
    </rPh>
    <rPh sb="3" eb="5">
      <t>シュウセイ</t>
    </rPh>
    <rPh sb="5" eb="7">
      <t>サギョウ</t>
    </rPh>
    <phoneticPr fontId="2"/>
  </si>
  <si>
    <t>構想設計を書いた</t>
    <rPh sb="0" eb="2">
      <t>コウソウ</t>
    </rPh>
    <rPh sb="2" eb="4">
      <t>セッケイ</t>
    </rPh>
    <rPh sb="5" eb="6">
      <t>カ</t>
    </rPh>
    <phoneticPr fontId="2"/>
  </si>
  <si>
    <t>画面遷移図を書いた</t>
    <rPh sb="0" eb="2">
      <t>ガメン</t>
    </rPh>
    <rPh sb="2" eb="4">
      <t>センイ</t>
    </rPh>
    <rPh sb="4" eb="5">
      <t>ズ</t>
    </rPh>
    <rPh sb="6" eb="7">
      <t>カ</t>
    </rPh>
    <phoneticPr fontId="2"/>
  </si>
  <si>
    <t>構想設計、画面遷移図確認作業</t>
    <rPh sb="0" eb="2">
      <t>コウソウ</t>
    </rPh>
    <rPh sb="2" eb="4">
      <t>セッケイ</t>
    </rPh>
    <rPh sb="5" eb="7">
      <t>ガメン</t>
    </rPh>
    <rPh sb="7" eb="10">
      <t>センイズ</t>
    </rPh>
    <rPh sb="10" eb="12">
      <t>カクニン</t>
    </rPh>
    <rPh sb="12" eb="14">
      <t>サギョウ</t>
    </rPh>
    <phoneticPr fontId="2"/>
  </si>
  <si>
    <t>10/24 11:50</t>
    <phoneticPr fontId="2"/>
  </si>
  <si>
    <t>構想設計、画面遷移図修正</t>
    <rPh sb="0" eb="2">
      <t>コウソウ</t>
    </rPh>
    <rPh sb="2" eb="4">
      <t>セッケイ</t>
    </rPh>
    <rPh sb="5" eb="7">
      <t>ガメン</t>
    </rPh>
    <rPh sb="7" eb="10">
      <t>センイズ</t>
    </rPh>
    <rPh sb="10" eb="12">
      <t>シュウセイ</t>
    </rPh>
    <phoneticPr fontId="2"/>
  </si>
  <si>
    <t>10/31 12:40</t>
    <phoneticPr fontId="2"/>
  </si>
  <si>
    <t>基本設計を書いた</t>
    <rPh sb="0" eb="2">
      <t>キホン</t>
    </rPh>
    <rPh sb="2" eb="4">
      <t>セッケイ</t>
    </rPh>
    <rPh sb="5" eb="6">
      <t>カ</t>
    </rPh>
    <phoneticPr fontId="2"/>
  </si>
  <si>
    <t>11/07 12:00</t>
    <phoneticPr fontId="2"/>
  </si>
  <si>
    <t>基本設計の修正</t>
    <rPh sb="0" eb="2">
      <t>キホン</t>
    </rPh>
    <rPh sb="2" eb="4">
      <t>セッケイ</t>
    </rPh>
    <rPh sb="5" eb="7">
      <t>シュウセイ</t>
    </rPh>
    <phoneticPr fontId="2"/>
  </si>
  <si>
    <t>11/07 12:40</t>
    <phoneticPr fontId="2"/>
  </si>
  <si>
    <t>スタイル実装</t>
    <rPh sb="4" eb="6">
      <t>ジッソウ</t>
    </rPh>
    <phoneticPr fontId="2"/>
  </si>
  <si>
    <t>レビュー(要件定義3回目)</t>
    <rPh sb="5" eb="7">
      <t>ヨウケン</t>
    </rPh>
    <rPh sb="7" eb="9">
      <t>テイギ</t>
    </rPh>
    <rPh sb="10" eb="12">
      <t>カイメ</t>
    </rPh>
    <phoneticPr fontId="2"/>
  </si>
  <si>
    <t>レビュー(基本設計3回目)</t>
    <rPh sb="5" eb="7">
      <t>キホン</t>
    </rPh>
    <rPh sb="7" eb="9">
      <t>セッケイ</t>
    </rPh>
    <rPh sb="10" eb="12">
      <t>カイメ</t>
    </rPh>
    <phoneticPr fontId="2"/>
  </si>
  <si>
    <t>システムテスト設計を作成</t>
    <rPh sb="7" eb="9">
      <t>セッケイ</t>
    </rPh>
    <rPh sb="10" eb="12">
      <t>サクセイ</t>
    </rPh>
    <phoneticPr fontId="2"/>
  </si>
  <si>
    <t>11/28 09:40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</si>
</sst>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m/d"/>
    <numFmt numFmtId="177" formatCode="m/d;@"/>
    <numFmt numFmtId="178" formatCode="&quot;第&quot;0&quot;回&quot;"/>
    <numFmt numFmtId="179" formatCode="0&quot;%&quot;"/>
    <numFmt numFmtId="180" formatCode="0&quot;分&quot;"/>
    <numFmt numFmtId="181" formatCode="0&quot;限&quot;"/>
    <numFmt numFmtId="182" formatCode="h:mm;@"/>
    <numFmt numFmtId="183" formatCode="0&quot;限&quot;&quot;目&quot;&quot;開&quot;&quot;始&quot;"/>
    <numFmt numFmtId="184" formatCode="[=0]&quot;&quot;;General"/>
  </numFmts>
  <fonts count="24" x14ac:knownFonts="1">
    <font>
      <sz val="11"/>
      <name val="ＭＳ Ｐゴシック"/>
      <family val="3"/>
      <charset val="128"/>
    </font>
    <font>
      <sz val="11"/>
      <name val="ＭＳ Ｐゴシック"/>
      <family val="3"/>
      <charset val="128"/>
    </font>
    <font>
      <sz val="6"/>
      <name val="ＭＳ Ｐゴシック"/>
      <family val="3"/>
      <charset val="128"/>
    </font>
    <font>
      <sz val="8"/>
      <name val="ＭＳ Ｐゴシック"/>
      <family val="3"/>
      <charset val="128"/>
    </font>
    <font>
      <sz val="10"/>
      <name val="ＭＳ Ｐゴシック"/>
      <family val="3"/>
      <charset val="128"/>
    </font>
    <font>
      <b/>
      <sz val="10"/>
      <name val="ＭＳ Ｐゴシック"/>
      <family val="3"/>
      <charset val="128"/>
    </font>
    <font>
      <b/>
      <sz val="11"/>
      <name val="ＭＳ Ｐゴシック"/>
      <family val="3"/>
      <charset val="128"/>
    </font>
    <font>
      <sz val="7"/>
      <name val="ＭＳ Ｐゴシック"/>
      <family val="3"/>
      <charset val="128"/>
    </font>
    <font>
      <b/>
      <sz val="12"/>
      <name val="ＭＳ Ｐゴシック"/>
      <family val="3"/>
      <charset val="128"/>
    </font>
    <font>
      <b/>
      <sz val="9"/>
      <name val="ＭＳ Ｐゴシック"/>
      <family val="3"/>
      <charset val="128"/>
    </font>
    <font>
      <b/>
      <sz val="8"/>
      <name val="ＭＳ Ｐゴシック"/>
      <family val="3"/>
      <charset val="128"/>
    </font>
    <font>
      <sz val="9"/>
      <name val="ＭＳ Ｐゴシック"/>
      <family val="3"/>
      <charset val="128"/>
    </font>
    <font>
      <b/>
      <sz val="9"/>
      <color indexed="10"/>
      <name val="ＭＳ Ｐゴシック"/>
      <family val="3"/>
      <charset val="128"/>
    </font>
    <font>
      <sz val="11"/>
      <color indexed="8"/>
      <name val="ＭＳ Ｐゴシック"/>
      <family val="3"/>
      <charset val="128"/>
    </font>
    <font>
      <sz val="11"/>
      <color indexed="10"/>
      <name val="ＭＳ Ｐゴシック"/>
      <family val="3"/>
      <charset val="128"/>
    </font>
    <font>
      <sz val="7"/>
      <color indexed="10"/>
      <name val="ＭＳ Ｐゴシック"/>
      <family val="3"/>
      <charset val="128"/>
    </font>
    <font>
      <sz val="7"/>
      <color indexed="8"/>
      <name val="ＭＳ Ｐゴシック"/>
      <family val="3"/>
      <charset val="128"/>
    </font>
    <font>
      <sz val="8"/>
      <color indexed="8"/>
      <name val="ＭＳ Ｐゴシック"/>
      <family val="3"/>
      <charset val="128"/>
    </font>
    <font>
      <b/>
      <sz val="8"/>
      <color indexed="10"/>
      <name val="ＭＳ Ｐゴシック"/>
      <family val="3"/>
      <charset val="128"/>
    </font>
    <font>
      <b/>
      <sz val="10"/>
      <color indexed="12"/>
      <name val="ＭＳ Ｐゴシック"/>
      <family val="3"/>
      <charset val="128"/>
    </font>
    <font>
      <sz val="11"/>
      <color indexed="12"/>
      <name val="ＭＳ Ｐゴシック"/>
      <family val="3"/>
      <charset val="128"/>
    </font>
    <font>
      <b/>
      <sz val="8"/>
      <color indexed="12"/>
      <name val="ＭＳ Ｐゴシック"/>
      <family val="3"/>
      <charset val="128"/>
    </font>
    <font>
      <sz val="8"/>
      <color theme="1"/>
      <name val="ＭＳ Ｐゴシック"/>
      <family val="3"/>
      <charset val="128"/>
    </font>
    <font>
      <sz val="8"/>
      <color indexed="10"/>
      <name val="ＭＳ Ｐゴシック"/>
      <family val="3"/>
      <charset val="128"/>
    </font>
  </fonts>
  <fills count="16">
    <fill>
      <patternFill patternType="none"/>
    </fill>
    <fill>
      <patternFill patternType="gray125"/>
    </fill>
    <fill>
      <patternFill patternType="solid">
        <fgColor indexed="62"/>
        <bgColor indexed="64"/>
      </patternFill>
    </fill>
    <fill>
      <patternFill patternType="solid">
        <fgColor indexed="51"/>
        <bgColor indexed="64"/>
      </patternFill>
    </fill>
    <fill>
      <patternFill patternType="solid">
        <fgColor indexed="49"/>
        <bgColor indexed="64"/>
      </patternFill>
    </fill>
    <fill>
      <patternFill patternType="solid">
        <fgColor indexed="50"/>
        <bgColor indexed="64"/>
      </patternFill>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indexed="43"/>
        <bgColor indexed="8"/>
      </patternFill>
    </fill>
    <fill>
      <patternFill patternType="solid">
        <fgColor indexed="13"/>
        <bgColor indexed="64"/>
      </patternFill>
    </fill>
    <fill>
      <patternFill patternType="solid">
        <fgColor indexed="47"/>
        <bgColor indexed="64"/>
      </patternFill>
    </fill>
    <fill>
      <patternFill patternType="solid">
        <fgColor rgb="FFFFFF99"/>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hair">
        <color indexed="55"/>
      </right>
      <top style="medium">
        <color indexed="64"/>
      </top>
      <bottom style="thin">
        <color indexed="64"/>
      </bottom>
      <diagonal/>
    </border>
    <border>
      <left style="thin">
        <color indexed="64"/>
      </left>
      <right style="hair">
        <color indexed="55"/>
      </right>
      <top style="thin">
        <color indexed="64"/>
      </top>
      <bottom style="thin">
        <color indexed="64"/>
      </bottom>
      <diagonal/>
    </border>
    <border>
      <left/>
      <right style="hair">
        <color indexed="55"/>
      </right>
      <top style="medium">
        <color indexed="64"/>
      </top>
      <bottom style="thin">
        <color indexed="64"/>
      </bottom>
      <diagonal/>
    </border>
    <border>
      <left/>
      <right style="hair">
        <color indexed="55"/>
      </right>
      <top style="thin">
        <color indexed="64"/>
      </top>
      <bottom style="thin">
        <color indexed="64"/>
      </bottom>
      <diagonal/>
    </border>
    <border>
      <left style="hair">
        <color indexed="55"/>
      </left>
      <right style="hair">
        <color indexed="55"/>
      </right>
      <top style="medium">
        <color indexed="64"/>
      </top>
      <bottom style="thin">
        <color indexed="64"/>
      </bottom>
      <diagonal/>
    </border>
    <border>
      <left style="hair">
        <color indexed="55"/>
      </left>
      <right style="hair">
        <color indexed="55"/>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hair">
        <color indexed="55"/>
      </right>
      <top style="thin">
        <color indexed="64"/>
      </top>
      <bottom/>
      <diagonal/>
    </border>
    <border>
      <left/>
      <right style="hair">
        <color indexed="55"/>
      </right>
      <top style="thin">
        <color indexed="64"/>
      </top>
      <bottom/>
      <diagonal/>
    </border>
    <border>
      <left style="hair">
        <color indexed="55"/>
      </left>
      <right style="hair">
        <color indexed="55"/>
      </right>
      <top style="thin">
        <color indexed="64"/>
      </top>
      <bottom/>
      <diagonal/>
    </border>
    <border>
      <left style="thin">
        <color indexed="64"/>
      </left>
      <right/>
      <top/>
      <bottom style="thin">
        <color indexed="64"/>
      </bottom>
      <diagonal/>
    </border>
    <border>
      <left style="thin">
        <color indexed="64"/>
      </left>
      <right style="hair">
        <color indexed="55"/>
      </right>
      <top/>
      <bottom style="thin">
        <color indexed="64"/>
      </bottom>
      <diagonal/>
    </border>
    <border>
      <left/>
      <right style="hair">
        <color indexed="55"/>
      </right>
      <top/>
      <bottom style="thin">
        <color indexed="64"/>
      </bottom>
      <diagonal/>
    </border>
    <border>
      <left style="hair">
        <color indexed="55"/>
      </left>
      <right style="hair">
        <color indexed="55"/>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1">
    <xf numFmtId="0" fontId="0" fillId="0" borderId="0"/>
  </cellStyleXfs>
  <cellXfs count="280">
    <xf numFmtId="0" fontId="0" fillId="0" borderId="0" xfId="0"/>
    <xf numFmtId="0" fontId="0" fillId="0" borderId="1" xfId="0" applyBorder="1"/>
    <xf numFmtId="177" fontId="0" fillId="0" borderId="1" xfId="0" applyNumberFormat="1" applyBorder="1"/>
    <xf numFmtId="0" fontId="4" fillId="2" borderId="1" xfId="0" applyFont="1" applyFill="1" applyBorder="1"/>
    <xf numFmtId="0" fontId="0" fillId="2" borderId="1" xfId="0" applyFill="1" applyBorder="1"/>
    <xf numFmtId="0" fontId="11" fillId="3" borderId="2" xfId="0" applyFont="1" applyFill="1" applyBorder="1" applyProtection="1">
      <protection locked="0"/>
    </xf>
    <xf numFmtId="0" fontId="11" fillId="4" borderId="1" xfId="0" applyFont="1" applyFill="1" applyBorder="1"/>
    <xf numFmtId="0" fontId="12" fillId="5" borderId="1" xfId="0" applyFont="1" applyFill="1" applyBorder="1" applyAlignment="1">
      <alignment vertical="top"/>
    </xf>
    <xf numFmtId="0" fontId="11" fillId="3" borderId="1" xfId="0" applyFont="1" applyFill="1" applyBorder="1" applyProtection="1">
      <protection locked="0"/>
    </xf>
    <xf numFmtId="0" fontId="11" fillId="3" borderId="3" xfId="0" applyFont="1" applyFill="1" applyBorder="1" applyProtection="1">
      <protection locked="0"/>
    </xf>
    <xf numFmtId="0" fontId="8" fillId="6" borderId="4" xfId="0" applyFont="1" applyFill="1" applyBorder="1" applyAlignment="1">
      <alignment vertical="top"/>
    </xf>
    <xf numFmtId="0" fontId="8" fillId="6" borderId="5" xfId="0" applyFont="1" applyFill="1" applyBorder="1" applyAlignment="1">
      <alignment vertical="top"/>
    </xf>
    <xf numFmtId="0" fontId="0" fillId="6" borderId="5" xfId="0" applyFill="1" applyBorder="1" applyAlignment="1">
      <alignment vertical="top"/>
    </xf>
    <xf numFmtId="0" fontId="0" fillId="6" borderId="6" xfId="0" applyFill="1" applyBorder="1" applyAlignment="1">
      <alignment vertical="top"/>
    </xf>
    <xf numFmtId="0" fontId="0" fillId="0" borderId="0" xfId="0" applyAlignment="1">
      <alignment vertical="top"/>
    </xf>
    <xf numFmtId="0" fontId="0" fillId="6" borderId="7" xfId="0" applyFill="1" applyBorder="1" applyAlignment="1">
      <alignment vertical="top"/>
    </xf>
    <xf numFmtId="0" fontId="6" fillId="2" borderId="0" xfId="0" applyFont="1" applyFill="1"/>
    <xf numFmtId="0" fontId="0" fillId="7" borderId="1" xfId="0" applyFill="1" applyBorder="1"/>
    <xf numFmtId="0" fontId="0" fillId="0" borderId="8" xfId="0" applyBorder="1"/>
    <xf numFmtId="0" fontId="3" fillId="7" borderId="9" xfId="0" applyFont="1" applyFill="1" applyBorder="1" applyAlignment="1">
      <alignment wrapText="1"/>
    </xf>
    <xf numFmtId="0" fontId="0" fillId="0" borderId="10" xfId="0" applyBorder="1"/>
    <xf numFmtId="0" fontId="0" fillId="0" borderId="11" xfId="0" applyBorder="1"/>
    <xf numFmtId="0" fontId="0" fillId="2" borderId="11" xfId="0" applyFill="1" applyBorder="1"/>
    <xf numFmtId="0" fontId="0" fillId="2" borderId="0" xfId="0" applyFill="1"/>
    <xf numFmtId="0" fontId="4" fillId="0" borderId="0" xfId="0" applyFont="1"/>
    <xf numFmtId="176" fontId="7" fillId="8" borderId="11" xfId="0" applyNumberFormat="1" applyFont="1" applyFill="1" applyBorder="1" applyAlignment="1">
      <alignment horizontal="center"/>
    </xf>
    <xf numFmtId="0" fontId="7" fillId="8" borderId="11" xfId="0" applyFont="1" applyFill="1" applyBorder="1" applyAlignment="1">
      <alignment horizontal="center"/>
    </xf>
    <xf numFmtId="20" fontId="7" fillId="8" borderId="11" xfId="0" applyNumberFormat="1" applyFont="1" applyFill="1" applyBorder="1" applyAlignment="1">
      <alignment horizontal="center"/>
    </xf>
    <xf numFmtId="0" fontId="0" fillId="0" borderId="1" xfId="0" applyBorder="1" applyProtection="1">
      <protection locked="0"/>
    </xf>
    <xf numFmtId="0" fontId="4" fillId="0" borderId="1" xfId="0" applyFont="1" applyBorder="1" applyAlignment="1" applyProtection="1">
      <alignment vertical="top"/>
      <protection locked="0"/>
    </xf>
    <xf numFmtId="0" fontId="1" fillId="0" borderId="1" xfId="0" applyFont="1" applyBorder="1" applyProtection="1">
      <protection locked="0"/>
    </xf>
    <xf numFmtId="20" fontId="0" fillId="0" borderId="1" xfId="0" applyNumberFormat="1" applyBorder="1"/>
    <xf numFmtId="0" fontId="3" fillId="7" borderId="1" xfId="0" applyFont="1" applyFill="1" applyBorder="1" applyAlignment="1">
      <alignment wrapText="1"/>
    </xf>
    <xf numFmtId="0" fontId="15" fillId="6" borderId="0" xfId="0" applyFont="1" applyFill="1" applyAlignment="1">
      <alignment horizontal="left"/>
    </xf>
    <xf numFmtId="0" fontId="15" fillId="6" borderId="7" xfId="0" applyFont="1" applyFill="1" applyBorder="1" applyAlignment="1">
      <alignment horizontal="left"/>
    </xf>
    <xf numFmtId="19" fontId="0" fillId="0" borderId="0" xfId="0" applyNumberFormat="1"/>
    <xf numFmtId="0" fontId="0" fillId="0" borderId="0" xfId="0" applyAlignment="1">
      <alignment horizontal="center"/>
    </xf>
    <xf numFmtId="0" fontId="3" fillId="6" borderId="1" xfId="0" applyFont="1" applyFill="1" applyBorder="1" applyAlignment="1">
      <alignment horizontal="center"/>
    </xf>
    <xf numFmtId="0" fontId="0" fillId="0" borderId="12" xfId="0" applyBorder="1"/>
    <xf numFmtId="180" fontId="3" fillId="0" borderId="1" xfId="0" applyNumberFormat="1" applyFont="1" applyBorder="1"/>
    <xf numFmtId="182" fontId="3" fillId="0" borderId="1" xfId="0" applyNumberFormat="1" applyFont="1" applyBorder="1"/>
    <xf numFmtId="180" fontId="0" fillId="0" borderId="1" xfId="0" applyNumberFormat="1" applyBorder="1"/>
    <xf numFmtId="0" fontId="0" fillId="9" borderId="1" xfId="0" applyFill="1" applyBorder="1"/>
    <xf numFmtId="183" fontId="0" fillId="9" borderId="1" xfId="0" applyNumberFormat="1" applyFill="1" applyBorder="1"/>
    <xf numFmtId="0" fontId="4" fillId="0" borderId="0" xfId="0" applyFont="1" applyAlignment="1">
      <alignment horizontal="center"/>
    </xf>
    <xf numFmtId="0" fontId="0" fillId="2" borderId="1" xfId="0" applyFill="1" applyBorder="1" applyAlignment="1">
      <alignment horizontal="center"/>
    </xf>
    <xf numFmtId="0" fontId="7" fillId="0" borderId="0" xfId="0" applyFont="1" applyAlignment="1">
      <alignment horizontal="center"/>
    </xf>
    <xf numFmtId="182" fontId="7" fillId="8" borderId="1" xfId="0" applyNumberFormat="1" applyFont="1" applyFill="1" applyBorder="1" applyAlignment="1">
      <alignment horizontal="center"/>
    </xf>
    <xf numFmtId="0" fontId="7" fillId="2" borderId="1" xfId="0" applyFont="1" applyFill="1" applyBorder="1" applyAlignment="1">
      <alignment horizontal="center"/>
    </xf>
    <xf numFmtId="182" fontId="15" fillId="8" borderId="1" xfId="0" applyNumberFormat="1" applyFont="1" applyFill="1" applyBorder="1" applyAlignment="1">
      <alignment horizontal="center"/>
    </xf>
    <xf numFmtId="182" fontId="16" fillId="8" borderId="1" xfId="0" applyNumberFormat="1" applyFont="1" applyFill="1" applyBorder="1" applyAlignment="1">
      <alignment horizontal="center"/>
    </xf>
    <xf numFmtId="0" fontId="11" fillId="7" borderId="1" xfId="0" applyFont="1" applyFill="1" applyBorder="1" applyAlignment="1">
      <alignment vertical="top"/>
    </xf>
    <xf numFmtId="0" fontId="0" fillId="0" borderId="0" xfId="0" applyAlignment="1">
      <alignment horizontal="right"/>
    </xf>
    <xf numFmtId="0" fontId="4" fillId="0" borderId="0" xfId="0" applyFont="1" applyAlignment="1">
      <alignment horizontal="right"/>
    </xf>
    <xf numFmtId="14" fontId="7" fillId="8" borderId="11" xfId="0" applyNumberFormat="1" applyFont="1" applyFill="1" applyBorder="1" applyAlignment="1">
      <alignment horizontal="center"/>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10" borderId="17" xfId="0" applyFill="1" applyBorder="1"/>
    <xf numFmtId="0" fontId="0" fillId="10" borderId="18" xfId="0" applyFill="1" applyBorder="1"/>
    <xf numFmtId="0" fontId="0" fillId="8" borderId="17" xfId="0" applyFill="1" applyBorder="1"/>
    <xf numFmtId="0" fontId="0" fillId="8" borderId="18" xfId="0" applyFill="1" applyBorder="1"/>
    <xf numFmtId="0" fontId="0" fillId="10" borderId="15" xfId="0" applyFill="1" applyBorder="1"/>
    <xf numFmtId="0" fontId="0" fillId="10" borderId="16" xfId="0" applyFill="1" applyBorder="1"/>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7" fillId="8" borderId="1" xfId="0" applyFont="1" applyFill="1" applyBorder="1" applyAlignment="1">
      <alignment horizontal="center"/>
    </xf>
    <xf numFmtId="0" fontId="12" fillId="5" borderId="9" xfId="0" applyFont="1" applyFill="1" applyBorder="1" applyAlignment="1">
      <alignment vertical="top"/>
    </xf>
    <xf numFmtId="0" fontId="11" fillId="3" borderId="20" xfId="0" applyFont="1" applyFill="1" applyBorder="1" applyProtection="1">
      <protection locked="0"/>
    </xf>
    <xf numFmtId="0" fontId="12" fillId="2" borderId="1" xfId="0" applyFont="1" applyFill="1" applyBorder="1" applyAlignment="1">
      <alignment vertical="top"/>
    </xf>
    <xf numFmtId="0" fontId="11" fillId="2" borderId="1" xfId="0" applyFont="1" applyFill="1" applyBorder="1"/>
    <xf numFmtId="0" fontId="5" fillId="2" borderId="1" xfId="0" applyFont="1" applyFill="1" applyBorder="1" applyAlignment="1">
      <alignment vertical="top" wrapText="1"/>
    </xf>
    <xf numFmtId="0" fontId="11" fillId="4" borderId="19" xfId="0" applyFont="1" applyFill="1" applyBorder="1"/>
    <xf numFmtId="0" fontId="12" fillId="5" borderId="19" xfId="0" applyFont="1" applyFill="1" applyBorder="1" applyAlignment="1">
      <alignment vertical="top"/>
    </xf>
    <xf numFmtId="0" fontId="0" fillId="0" borderId="4" xfId="0" applyBorder="1"/>
    <xf numFmtId="0" fontId="0" fillId="8" borderId="21" xfId="0" applyFill="1" applyBorder="1"/>
    <xf numFmtId="0" fontId="0" fillId="8" borderId="22" xfId="0" applyFill="1" applyBorder="1"/>
    <xf numFmtId="0" fontId="0" fillId="10" borderId="23" xfId="0" applyFill="1" applyBorder="1"/>
    <xf numFmtId="0" fontId="0" fillId="8" borderId="23" xfId="0" applyFill="1" applyBorder="1"/>
    <xf numFmtId="0" fontId="0" fillId="10" borderId="22" xfId="0" applyFill="1" applyBorder="1"/>
    <xf numFmtId="0" fontId="0" fillId="2" borderId="19" xfId="0" applyFill="1" applyBorder="1"/>
    <xf numFmtId="0" fontId="11" fillId="4" borderId="9" xfId="0" applyFont="1" applyFill="1" applyBorder="1"/>
    <xf numFmtId="0" fontId="0" fillId="0" borderId="24" xfId="0" applyBorder="1"/>
    <xf numFmtId="0" fontId="0" fillId="8" borderId="25" xfId="0" applyFill="1" applyBorder="1"/>
    <xf numFmtId="0" fontId="0" fillId="8" borderId="26" xfId="0" applyFill="1" applyBorder="1"/>
    <xf numFmtId="0" fontId="0" fillId="10" borderId="27" xfId="0" applyFill="1" applyBorder="1"/>
    <xf numFmtId="0" fontId="0" fillId="8" borderId="27" xfId="0" applyFill="1" applyBorder="1"/>
    <xf numFmtId="0" fontId="0" fillId="10" borderId="26" xfId="0" applyFill="1" applyBorder="1"/>
    <xf numFmtId="0" fontId="0" fillId="2" borderId="9" xfId="0" applyFill="1" applyBorder="1"/>
    <xf numFmtId="0" fontId="3" fillId="7" borderId="1" xfId="0" applyFont="1" applyFill="1" applyBorder="1" applyAlignment="1" applyProtection="1">
      <alignment vertical="top"/>
      <protection locked="0"/>
    </xf>
    <xf numFmtId="0" fontId="3" fillId="2" borderId="1" xfId="0" applyFont="1" applyFill="1" applyBorder="1" applyAlignment="1" applyProtection="1">
      <alignment vertical="top"/>
      <protection locked="0"/>
    </xf>
    <xf numFmtId="176" fontId="17" fillId="9" borderId="1" xfId="0" applyNumberFormat="1" applyFont="1" applyFill="1" applyBorder="1" applyProtection="1">
      <protection locked="0"/>
    </xf>
    <xf numFmtId="0" fontId="17" fillId="9" borderId="1" xfId="0" applyFont="1" applyFill="1" applyBorder="1" applyProtection="1">
      <protection locked="0"/>
    </xf>
    <xf numFmtId="180" fontId="3" fillId="9" borderId="1" xfId="0" applyNumberFormat="1" applyFont="1" applyFill="1" applyBorder="1" applyProtection="1">
      <protection locked="0"/>
    </xf>
    <xf numFmtId="0" fontId="3" fillId="4" borderId="1" xfId="0" applyFont="1" applyFill="1" applyBorder="1" applyProtection="1">
      <protection locked="0"/>
    </xf>
    <xf numFmtId="176" fontId="3" fillId="9" borderId="1" xfId="0" applyNumberFormat="1" applyFont="1" applyFill="1" applyBorder="1" applyProtection="1">
      <protection locked="0"/>
    </xf>
    <xf numFmtId="0" fontId="3" fillId="9" borderId="1" xfId="0" applyFont="1" applyFill="1" applyBorder="1" applyProtection="1">
      <protection locked="0"/>
    </xf>
    <xf numFmtId="176" fontId="3" fillId="2" borderId="1" xfId="0" applyNumberFormat="1" applyFont="1" applyFill="1" applyBorder="1" applyProtection="1">
      <protection locked="0"/>
    </xf>
    <xf numFmtId="0" fontId="3" fillId="2" borderId="1" xfId="0" applyFont="1" applyFill="1" applyBorder="1" applyProtection="1">
      <protection locked="0"/>
    </xf>
    <xf numFmtId="0" fontId="17" fillId="2" borderId="1" xfId="0" applyFont="1" applyFill="1" applyBorder="1" applyProtection="1">
      <protection locked="0"/>
    </xf>
    <xf numFmtId="180" fontId="3" fillId="2" borderId="1" xfId="0" applyNumberFormat="1" applyFont="1" applyFill="1" applyBorder="1" applyProtection="1">
      <protection locked="0"/>
    </xf>
    <xf numFmtId="0" fontId="3" fillId="5" borderId="1" xfId="0" applyFont="1" applyFill="1" applyBorder="1" applyAlignment="1" applyProtection="1">
      <alignment vertical="top"/>
      <protection locked="0"/>
    </xf>
    <xf numFmtId="0" fontId="3" fillId="7" borderId="19" xfId="0" applyFont="1" applyFill="1" applyBorder="1" applyAlignment="1" applyProtection="1">
      <alignment vertical="top"/>
      <protection locked="0"/>
    </xf>
    <xf numFmtId="0" fontId="3" fillId="5" borderId="19" xfId="0" applyFont="1" applyFill="1" applyBorder="1" applyAlignment="1" applyProtection="1">
      <alignment vertical="top"/>
      <protection locked="0"/>
    </xf>
    <xf numFmtId="176" fontId="3" fillId="9" borderId="19" xfId="0" applyNumberFormat="1" applyFont="1" applyFill="1" applyBorder="1" applyProtection="1">
      <protection locked="0"/>
    </xf>
    <xf numFmtId="0" fontId="3" fillId="9" borderId="19" xfId="0" applyFont="1" applyFill="1" applyBorder="1" applyProtection="1">
      <protection locked="0"/>
    </xf>
    <xf numFmtId="180" fontId="3" fillId="9" borderId="19" xfId="0" applyNumberFormat="1" applyFont="1" applyFill="1" applyBorder="1" applyProtection="1">
      <protection locked="0"/>
    </xf>
    <xf numFmtId="0" fontId="3" fillId="4" borderId="19" xfId="0" applyFont="1" applyFill="1" applyBorder="1" applyProtection="1">
      <protection locked="0"/>
    </xf>
    <xf numFmtId="0" fontId="3" fillId="7" borderId="9" xfId="0" applyFont="1" applyFill="1" applyBorder="1" applyAlignment="1" applyProtection="1">
      <alignment vertical="top"/>
      <protection locked="0"/>
    </xf>
    <xf numFmtId="0" fontId="3" fillId="5" borderId="9" xfId="0" applyFont="1" applyFill="1" applyBorder="1" applyAlignment="1" applyProtection="1">
      <alignment vertical="top"/>
      <protection locked="0"/>
    </xf>
    <xf numFmtId="176" fontId="17" fillId="9" borderId="9" xfId="0" applyNumberFormat="1" applyFont="1" applyFill="1" applyBorder="1" applyProtection="1">
      <protection locked="0"/>
    </xf>
    <xf numFmtId="0" fontId="17" fillId="9" borderId="9" xfId="0" applyFont="1" applyFill="1" applyBorder="1" applyProtection="1">
      <protection locked="0"/>
    </xf>
    <xf numFmtId="180" fontId="3" fillId="9" borderId="9" xfId="0" applyNumberFormat="1" applyFont="1" applyFill="1" applyBorder="1" applyProtection="1">
      <protection locked="0"/>
    </xf>
    <xf numFmtId="0" fontId="3" fillId="4" borderId="9" xfId="0" applyFont="1" applyFill="1" applyBorder="1" applyProtection="1">
      <protection locked="0"/>
    </xf>
    <xf numFmtId="176" fontId="3" fillId="9" borderId="9" xfId="0" applyNumberFormat="1" applyFont="1" applyFill="1" applyBorder="1" applyProtection="1">
      <protection locked="0"/>
    </xf>
    <xf numFmtId="0" fontId="3" fillId="9" borderId="9" xfId="0" applyFont="1" applyFill="1" applyBorder="1" applyProtection="1">
      <protection locked="0"/>
    </xf>
    <xf numFmtId="0" fontId="3" fillId="2" borderId="1" xfId="0" applyFont="1" applyFill="1" applyBorder="1"/>
    <xf numFmtId="0" fontId="3" fillId="0" borderId="0" xfId="0" applyFont="1"/>
    <xf numFmtId="0" fontId="3" fillId="0" borderId="0" xfId="0" applyFont="1" applyAlignment="1">
      <alignment horizontal="center"/>
    </xf>
    <xf numFmtId="0" fontId="4" fillId="0" borderId="20" xfId="0" applyFont="1" applyBorder="1" applyAlignment="1" applyProtection="1">
      <alignment vertical="top"/>
      <protection locked="0"/>
    </xf>
    <xf numFmtId="0" fontId="14" fillId="0" borderId="0" xfId="0" applyFont="1"/>
    <xf numFmtId="0" fontId="13" fillId="0" borderId="0" xfId="0" applyFont="1"/>
    <xf numFmtId="0" fontId="18" fillId="5" borderId="1" xfId="0" applyFont="1" applyFill="1" applyBorder="1" applyAlignment="1" applyProtection="1">
      <alignment vertical="top"/>
      <protection locked="0"/>
    </xf>
    <xf numFmtId="177" fontId="0" fillId="11" borderId="1" xfId="0" applyNumberFormat="1" applyFill="1" applyBorder="1"/>
    <xf numFmtId="180" fontId="3" fillId="11" borderId="1" xfId="0" applyNumberFormat="1" applyFont="1" applyFill="1" applyBorder="1"/>
    <xf numFmtId="182" fontId="3" fillId="11" borderId="1" xfId="0" applyNumberFormat="1" applyFont="1" applyFill="1" applyBorder="1"/>
    <xf numFmtId="0" fontId="10" fillId="12" borderId="28" xfId="0" applyFont="1" applyFill="1" applyBorder="1" applyAlignment="1">
      <alignment horizontal="center"/>
    </xf>
    <xf numFmtId="0" fontId="10" fillId="12" borderId="29" xfId="0" applyFont="1" applyFill="1" applyBorder="1" applyAlignment="1">
      <alignment horizontal="center"/>
    </xf>
    <xf numFmtId="0" fontId="10" fillId="12" borderId="30" xfId="0" applyFont="1" applyFill="1" applyBorder="1" applyAlignment="1">
      <alignment horizontal="center"/>
    </xf>
    <xf numFmtId="0" fontId="3" fillId="13" borderId="1" xfId="0" applyFont="1" applyFill="1" applyBorder="1" applyAlignment="1">
      <alignment horizontal="center" vertical="top"/>
    </xf>
    <xf numFmtId="0" fontId="10" fillId="4" borderId="19" xfId="0" applyFont="1" applyFill="1" applyBorder="1" applyAlignment="1">
      <alignment horizontal="center"/>
    </xf>
    <xf numFmtId="0" fontId="21" fillId="7" borderId="19" xfId="0" applyFont="1" applyFill="1" applyBorder="1" applyAlignment="1">
      <alignment horizontal="center" vertical="top"/>
    </xf>
    <xf numFmtId="0" fontId="21" fillId="5" borderId="19" xfId="0" applyFont="1" applyFill="1" applyBorder="1" applyAlignment="1">
      <alignment horizontal="center" vertical="top"/>
    </xf>
    <xf numFmtId="14" fontId="21" fillId="9" borderId="19" xfId="0" applyNumberFormat="1" applyFont="1" applyFill="1" applyBorder="1" applyAlignment="1">
      <alignment horizontal="center"/>
    </xf>
    <xf numFmtId="0" fontId="21" fillId="9" borderId="19" xfId="0" applyFont="1" applyFill="1" applyBorder="1" applyAlignment="1">
      <alignment horizontal="center"/>
    </xf>
    <xf numFmtId="0" fontId="21" fillId="4" borderId="19" xfId="0" applyFont="1" applyFill="1" applyBorder="1" applyAlignment="1">
      <alignment horizontal="center"/>
    </xf>
    <xf numFmtId="0" fontId="10" fillId="11" borderId="19" xfId="0" applyFont="1" applyFill="1" applyBorder="1" applyAlignment="1">
      <alignment horizontal="center"/>
    </xf>
    <xf numFmtId="0" fontId="21" fillId="3" borderId="19" xfId="0" applyFont="1" applyFill="1" applyBorder="1" applyAlignment="1">
      <alignment horizontal="center"/>
    </xf>
    <xf numFmtId="0" fontId="21" fillId="14" borderId="19" xfId="0" applyFont="1" applyFill="1" applyBorder="1" applyAlignment="1">
      <alignment horizontal="center"/>
    </xf>
    <xf numFmtId="0" fontId="11" fillId="0" borderId="0" xfId="0" applyFont="1"/>
    <xf numFmtId="0" fontId="9" fillId="7" borderId="11" xfId="0" applyFont="1" applyFill="1" applyBorder="1"/>
    <xf numFmtId="0" fontId="9" fillId="7" borderId="31" xfId="0" applyFont="1" applyFill="1" applyBorder="1"/>
    <xf numFmtId="0" fontId="9" fillId="7" borderId="32" xfId="0" applyFont="1" applyFill="1" applyBorder="1"/>
    <xf numFmtId="0" fontId="11" fillId="6" borderId="1" xfId="0" applyFont="1" applyFill="1" applyBorder="1" applyAlignment="1">
      <alignment horizontal="left"/>
    </xf>
    <xf numFmtId="49" fontId="17" fillId="11" borderId="1" xfId="0" applyNumberFormat="1" applyFont="1" applyFill="1" applyBorder="1" applyAlignment="1">
      <alignment horizontal="right"/>
    </xf>
    <xf numFmtId="49" fontId="3" fillId="11" borderId="1" xfId="0" applyNumberFormat="1" applyFont="1" applyFill="1" applyBorder="1" applyAlignment="1">
      <alignment horizontal="right"/>
    </xf>
    <xf numFmtId="49" fontId="3" fillId="2" borderId="1" xfId="0" applyNumberFormat="1" applyFont="1" applyFill="1" applyBorder="1" applyAlignment="1">
      <alignment horizontal="right"/>
    </xf>
    <xf numFmtId="49" fontId="3" fillId="11" borderId="19" xfId="0" applyNumberFormat="1" applyFont="1" applyFill="1" applyBorder="1" applyAlignment="1">
      <alignment horizontal="right"/>
    </xf>
    <xf numFmtId="49" fontId="3" fillId="11" borderId="9" xfId="0" applyNumberFormat="1" applyFont="1" applyFill="1" applyBorder="1" applyAlignment="1">
      <alignment horizontal="right"/>
    </xf>
    <xf numFmtId="0" fontId="0" fillId="0" borderId="5" xfId="0" applyBorder="1" applyAlignment="1">
      <alignment vertical="top"/>
    </xf>
    <xf numFmtId="0" fontId="11" fillId="0" borderId="0" xfId="0" applyFont="1" applyAlignment="1">
      <alignment horizontal="left" vertical="top"/>
    </xf>
    <xf numFmtId="0" fontId="1" fillId="0" borderId="0" xfId="0" applyFont="1"/>
    <xf numFmtId="0" fontId="22" fillId="7" borderId="1" xfId="0" applyFont="1" applyFill="1" applyBorder="1" applyAlignment="1" applyProtection="1">
      <alignment vertical="top"/>
      <protection locked="0"/>
    </xf>
    <xf numFmtId="0" fontId="6" fillId="0" borderId="0" xfId="0" applyFont="1"/>
    <xf numFmtId="184" fontId="11" fillId="0" borderId="1" xfId="0" applyNumberFormat="1" applyFont="1" applyBorder="1"/>
    <xf numFmtId="184" fontId="0" fillId="7" borderId="1" xfId="0" applyNumberFormat="1" applyFill="1" applyBorder="1"/>
    <xf numFmtId="176" fontId="3" fillId="3" borderId="1" xfId="0" applyNumberFormat="1" applyFont="1" applyFill="1" applyBorder="1" applyProtection="1">
      <protection locked="0"/>
    </xf>
    <xf numFmtId="0" fontId="3" fillId="3" borderId="1" xfId="0" applyFont="1" applyFill="1" applyBorder="1" applyProtection="1">
      <protection locked="0"/>
    </xf>
    <xf numFmtId="180" fontId="3" fillId="3" borderId="1" xfId="0" applyNumberFormat="1" applyFont="1" applyFill="1" applyBorder="1" applyProtection="1">
      <protection locked="0"/>
    </xf>
    <xf numFmtId="176" fontId="3" fillId="3" borderId="19" xfId="0" applyNumberFormat="1" applyFont="1" applyFill="1" applyBorder="1" applyProtection="1">
      <protection locked="0"/>
    </xf>
    <xf numFmtId="0" fontId="3" fillId="3" borderId="19" xfId="0" applyFont="1" applyFill="1" applyBorder="1" applyProtection="1">
      <protection locked="0"/>
    </xf>
    <xf numFmtId="180" fontId="3" fillId="3" borderId="19" xfId="0" applyNumberFormat="1" applyFont="1" applyFill="1" applyBorder="1" applyProtection="1">
      <protection locked="0"/>
    </xf>
    <xf numFmtId="176" fontId="3" fillId="3" borderId="9" xfId="0" applyNumberFormat="1" applyFont="1" applyFill="1" applyBorder="1" applyProtection="1">
      <protection locked="0"/>
    </xf>
    <xf numFmtId="0" fontId="3" fillId="3" borderId="9" xfId="0" applyFont="1" applyFill="1" applyBorder="1" applyProtection="1">
      <protection locked="0"/>
    </xf>
    <xf numFmtId="180" fontId="3" fillId="3" borderId="9" xfId="0" applyNumberFormat="1" applyFont="1" applyFill="1" applyBorder="1" applyProtection="1">
      <protection locked="0"/>
    </xf>
    <xf numFmtId="179" fontId="3" fillId="14" borderId="1" xfId="0" applyNumberFormat="1" applyFont="1" applyFill="1" applyBorder="1" applyProtection="1">
      <protection locked="0"/>
    </xf>
    <xf numFmtId="179" fontId="3" fillId="2" borderId="1" xfId="0" applyNumberFormat="1" applyFont="1" applyFill="1" applyBorder="1" applyProtection="1">
      <protection locked="0"/>
    </xf>
    <xf numFmtId="0" fontId="3" fillId="14" borderId="1" xfId="0" applyFont="1" applyFill="1" applyBorder="1" applyProtection="1">
      <protection locked="0"/>
    </xf>
    <xf numFmtId="0" fontId="3" fillId="14" borderId="19" xfId="0" applyFont="1" applyFill="1" applyBorder="1" applyProtection="1">
      <protection locked="0"/>
    </xf>
    <xf numFmtId="0" fontId="3" fillId="14" borderId="9" xfId="0" applyFont="1" applyFill="1" applyBorder="1" applyProtection="1">
      <protection locked="0"/>
    </xf>
    <xf numFmtId="0" fontId="3" fillId="15" borderId="1" xfId="0" applyFont="1" applyFill="1" applyBorder="1" applyProtection="1">
      <protection locked="0"/>
    </xf>
    <xf numFmtId="0" fontId="3" fillId="15" borderId="5" xfId="0" applyFont="1" applyFill="1" applyBorder="1" applyProtection="1">
      <protection locked="0"/>
    </xf>
    <xf numFmtId="0" fontId="0" fillId="0" borderId="54" xfId="0" applyBorder="1"/>
    <xf numFmtId="49" fontId="23" fillId="11" borderId="1" xfId="0" applyNumberFormat="1" applyFont="1" applyFill="1" applyBorder="1" applyAlignment="1">
      <alignment horizontal="right"/>
    </xf>
    <xf numFmtId="49" fontId="17" fillId="11" borderId="9" xfId="0" applyNumberFormat="1" applyFont="1" applyFill="1" applyBorder="1" applyAlignment="1">
      <alignment horizontal="right"/>
    </xf>
    <xf numFmtId="0" fontId="9" fillId="7" borderId="1" xfId="0" applyFont="1" applyFill="1" applyBorder="1" applyAlignment="1">
      <alignment vertical="top"/>
    </xf>
    <xf numFmtId="0" fontId="11" fillId="0" borderId="1" xfId="0" applyFont="1" applyBorder="1" applyAlignment="1">
      <alignment vertical="top"/>
    </xf>
    <xf numFmtId="0" fontId="11" fillId="8" borderId="11" xfId="0" applyFont="1" applyFill="1" applyBorder="1" applyAlignment="1">
      <alignment horizontal="left" vertical="top"/>
    </xf>
    <xf numFmtId="0" fontId="11" fillId="8" borderId="31" xfId="0" applyFont="1" applyFill="1" applyBorder="1" applyAlignment="1">
      <alignment horizontal="left" vertical="top"/>
    </xf>
    <xf numFmtId="0" fontId="11" fillId="8" borderId="32" xfId="0" applyFont="1" applyFill="1" applyBorder="1" applyAlignment="1">
      <alignment horizontal="left" vertical="top"/>
    </xf>
    <xf numFmtId="0" fontId="11" fillId="0" borderId="1" xfId="0" applyFont="1" applyBorder="1" applyAlignment="1" applyProtection="1">
      <alignment horizontal="left"/>
      <protection locked="0"/>
    </xf>
    <xf numFmtId="0" fontId="9" fillId="0" borderId="0" xfId="0" applyFont="1" applyAlignment="1">
      <alignment vertical="top"/>
    </xf>
    <xf numFmtId="0" fontId="5" fillId="9" borderId="4" xfId="0" applyFont="1" applyFill="1" applyBorder="1" applyAlignment="1">
      <alignment horizontal="center"/>
    </xf>
    <xf numFmtId="0" fontId="5" fillId="9" borderId="5" xfId="0" applyFont="1" applyFill="1" applyBorder="1" applyAlignment="1">
      <alignment horizontal="center"/>
    </xf>
    <xf numFmtId="0" fontId="5" fillId="9" borderId="6" xfId="0" applyFont="1" applyFill="1" applyBorder="1" applyAlignment="1">
      <alignment horizontal="center"/>
    </xf>
    <xf numFmtId="0" fontId="5" fillId="9" borderId="24" xfId="0" applyFont="1" applyFill="1" applyBorder="1" applyAlignment="1">
      <alignment horizontal="center"/>
    </xf>
    <xf numFmtId="0" fontId="5" fillId="9" borderId="52" xfId="0" applyFont="1" applyFill="1" applyBorder="1" applyAlignment="1">
      <alignment horizontal="center"/>
    </xf>
    <xf numFmtId="0" fontId="5" fillId="9" borderId="53" xfId="0" applyFont="1" applyFill="1" applyBorder="1" applyAlignment="1">
      <alignment horizontal="center"/>
    </xf>
    <xf numFmtId="0" fontId="9" fillId="7" borderId="1" xfId="0" applyFont="1" applyFill="1" applyBorder="1" applyAlignment="1">
      <alignment horizontal="center"/>
    </xf>
    <xf numFmtId="0" fontId="0" fillId="0" borderId="1" xfId="0" applyBorder="1" applyAlignment="1">
      <alignment horizontal="center"/>
    </xf>
    <xf numFmtId="0" fontId="4" fillId="0" borderId="1" xfId="0" applyFont="1" applyBorder="1" applyAlignment="1">
      <alignment horizontal="center"/>
    </xf>
    <xf numFmtId="0" fontId="9" fillId="7" borderId="11" xfId="0" applyFont="1" applyFill="1" applyBorder="1" applyAlignment="1">
      <alignment horizontal="center"/>
    </xf>
    <xf numFmtId="0" fontId="9" fillId="7" borderId="32" xfId="0" applyFont="1" applyFill="1" applyBorder="1" applyAlignment="1">
      <alignment horizontal="center"/>
    </xf>
    <xf numFmtId="0" fontId="11" fillId="0" borderId="11" xfId="0" applyFont="1" applyBorder="1" applyAlignment="1" applyProtection="1">
      <alignment vertical="top"/>
      <protection locked="0"/>
    </xf>
    <xf numFmtId="0" fontId="11" fillId="0" borderId="31" xfId="0" applyFont="1" applyBorder="1" applyAlignment="1" applyProtection="1">
      <alignment vertical="top"/>
      <protection locked="0"/>
    </xf>
    <xf numFmtId="0" fontId="11" fillId="0" borderId="32" xfId="0" applyFont="1" applyBorder="1" applyAlignment="1" applyProtection="1">
      <alignment vertical="top"/>
      <protection locked="0"/>
    </xf>
    <xf numFmtId="0" fontId="11" fillId="0" borderId="4" xfId="0" applyFont="1" applyBorder="1" applyAlignment="1" applyProtection="1">
      <alignment vertical="top"/>
      <protection locked="0"/>
    </xf>
    <xf numFmtId="0" fontId="11" fillId="0" borderId="5" xfId="0" applyFont="1" applyBorder="1" applyAlignment="1" applyProtection="1">
      <alignment vertical="top"/>
      <protection locked="0"/>
    </xf>
    <xf numFmtId="0" fontId="11" fillId="0" borderId="6" xfId="0" applyFont="1" applyBorder="1" applyAlignment="1" applyProtection="1">
      <alignment vertical="top"/>
      <protection locked="0"/>
    </xf>
    <xf numFmtId="0" fontId="9" fillId="0" borderId="5" xfId="0" applyFont="1" applyBorder="1" applyAlignment="1">
      <alignment vertical="top"/>
    </xf>
    <xf numFmtId="0" fontId="9" fillId="7" borderId="11" xfId="0" applyFont="1" applyFill="1" applyBorder="1" applyAlignment="1">
      <alignment horizontal="left"/>
    </xf>
    <xf numFmtId="0" fontId="9" fillId="7" borderId="31" xfId="0" applyFont="1" applyFill="1" applyBorder="1" applyAlignment="1">
      <alignment horizontal="left"/>
    </xf>
    <xf numFmtId="0" fontId="9" fillId="7" borderId="32" xfId="0" applyFont="1" applyFill="1" applyBorder="1" applyAlignment="1">
      <alignment horizontal="left"/>
    </xf>
    <xf numFmtId="0" fontId="11" fillId="0" borderId="5" xfId="0" applyFont="1" applyBorder="1" applyAlignment="1">
      <alignment vertical="top"/>
    </xf>
    <xf numFmtId="0" fontId="9" fillId="7" borderId="19" xfId="0" applyFont="1" applyFill="1" applyBorder="1" applyAlignment="1">
      <alignment vertical="top"/>
    </xf>
    <xf numFmtId="178" fontId="10" fillId="6" borderId="11" xfId="0" applyNumberFormat="1" applyFont="1" applyFill="1" applyBorder="1" applyAlignment="1">
      <alignment horizontal="center"/>
    </xf>
    <xf numFmtId="178" fontId="10" fillId="6" borderId="31" xfId="0" applyNumberFormat="1" applyFont="1" applyFill="1" applyBorder="1" applyAlignment="1">
      <alignment horizontal="center"/>
    </xf>
    <xf numFmtId="176" fontId="10" fillId="6" borderId="11" xfId="0" applyNumberFormat="1" applyFont="1" applyFill="1" applyBorder="1" applyAlignment="1">
      <alignment horizontal="center"/>
    </xf>
    <xf numFmtId="176" fontId="10" fillId="6" borderId="31" xfId="0" applyNumberFormat="1" applyFont="1" applyFill="1" applyBorder="1" applyAlignment="1">
      <alignment horizontal="center"/>
    </xf>
    <xf numFmtId="0" fontId="10" fillId="6" borderId="11" xfId="0" applyFont="1" applyFill="1" applyBorder="1" applyAlignment="1">
      <alignment horizontal="center"/>
    </xf>
    <xf numFmtId="0" fontId="10" fillId="6" borderId="31" xfId="0" applyFont="1" applyFill="1" applyBorder="1" applyAlignment="1">
      <alignment horizontal="center"/>
    </xf>
    <xf numFmtId="0" fontId="10" fillId="6" borderId="32" xfId="0" applyFont="1" applyFill="1" applyBorder="1" applyAlignment="1">
      <alignment horizontal="center"/>
    </xf>
    <xf numFmtId="0" fontId="11" fillId="7" borderId="1" xfId="0" applyFont="1" applyFill="1" applyBorder="1" applyAlignment="1">
      <alignment textRotation="180"/>
    </xf>
    <xf numFmtId="0" fontId="3" fillId="7" borderId="1" xfId="0" applyFont="1" applyFill="1" applyBorder="1" applyAlignment="1">
      <alignment textRotation="180" wrapText="1"/>
    </xf>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3" fillId="7" borderId="19" xfId="0" applyFont="1" applyFill="1" applyBorder="1" applyAlignment="1">
      <alignment horizontal="center" textRotation="180" wrapText="1"/>
    </xf>
    <xf numFmtId="0" fontId="3" fillId="7" borderId="20" xfId="0" applyFont="1" applyFill="1" applyBorder="1" applyAlignment="1">
      <alignment horizontal="center" textRotation="180" wrapText="1"/>
    </xf>
    <xf numFmtId="0" fontId="3" fillId="7" borderId="9" xfId="0" applyFont="1" applyFill="1" applyBorder="1" applyAlignment="1">
      <alignment horizontal="center" textRotation="180" wrapText="1"/>
    </xf>
    <xf numFmtId="0" fontId="5" fillId="13" borderId="49" xfId="0" applyFont="1" applyFill="1" applyBorder="1" applyAlignment="1">
      <alignment horizontal="center" vertical="center" textRotation="90" wrapText="1"/>
    </xf>
    <xf numFmtId="0" fontId="5" fillId="13" borderId="50" xfId="0" applyFont="1" applyFill="1" applyBorder="1" applyAlignment="1">
      <alignment horizontal="center" vertical="center" textRotation="90" wrapText="1"/>
    </xf>
    <xf numFmtId="0" fontId="5" fillId="13" borderId="2" xfId="0" applyFont="1" applyFill="1" applyBorder="1" applyAlignment="1">
      <alignment horizontal="center" vertical="center" textRotation="90" wrapText="1"/>
    </xf>
    <xf numFmtId="0" fontId="5" fillId="13" borderId="51" xfId="0" applyFont="1" applyFill="1" applyBorder="1" applyAlignment="1">
      <alignment horizontal="center" vertical="center" textRotation="90" wrapText="1"/>
    </xf>
    <xf numFmtId="0" fontId="5" fillId="13" borderId="19" xfId="0" applyFont="1" applyFill="1" applyBorder="1" applyAlignment="1">
      <alignment horizontal="center" vertical="center" textRotation="90" wrapText="1"/>
    </xf>
    <xf numFmtId="0" fontId="5" fillId="13" borderId="20" xfId="0" applyFont="1" applyFill="1" applyBorder="1" applyAlignment="1">
      <alignment horizontal="center" vertical="center" textRotation="90" wrapText="1"/>
    </xf>
    <xf numFmtId="0" fontId="5" fillId="13" borderId="9" xfId="0" applyFont="1" applyFill="1" applyBorder="1" applyAlignment="1">
      <alignment horizontal="center" vertical="center" textRotation="90" wrapText="1"/>
    </xf>
    <xf numFmtId="0" fontId="6" fillId="3" borderId="4" xfId="0" applyFont="1" applyFill="1" applyBorder="1" applyAlignment="1">
      <alignment horizontal="center"/>
    </xf>
    <xf numFmtId="0" fontId="6" fillId="3" borderId="5" xfId="0" applyFont="1" applyFill="1" applyBorder="1" applyAlignment="1">
      <alignment horizontal="center"/>
    </xf>
    <xf numFmtId="0" fontId="6" fillId="3" borderId="6" xfId="0" applyFont="1" applyFill="1" applyBorder="1" applyAlignment="1">
      <alignment horizontal="center"/>
    </xf>
    <xf numFmtId="0" fontId="6" fillId="3" borderId="24"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0" fontId="19" fillId="3" borderId="19" xfId="0" applyFont="1" applyFill="1" applyBorder="1" applyAlignment="1">
      <alignment horizontal="center" vertical="center" textRotation="90" wrapText="1"/>
    </xf>
    <xf numFmtId="0" fontId="19" fillId="3" borderId="20" xfId="0" applyFont="1" applyFill="1" applyBorder="1" applyAlignment="1">
      <alignment horizontal="center" vertical="center" textRotation="90" wrapText="1"/>
    </xf>
    <xf numFmtId="0" fontId="20" fillId="3" borderId="20" xfId="0" applyFont="1" applyFill="1" applyBorder="1" applyAlignment="1">
      <alignment horizontal="center" vertical="center" textRotation="90" wrapText="1"/>
    </xf>
    <xf numFmtId="0" fontId="0" fillId="0" borderId="20" xfId="0" applyBorder="1" applyAlignment="1">
      <alignment horizontal="center" vertical="center" textRotation="90" wrapText="1"/>
    </xf>
    <xf numFmtId="0" fontId="0" fillId="0" borderId="9" xfId="0" applyBorder="1" applyAlignment="1">
      <alignment horizontal="center" vertical="center" textRotation="90" wrapText="1"/>
    </xf>
    <xf numFmtId="0" fontId="11" fillId="13" borderId="1" xfId="0" applyFont="1" applyFill="1" applyBorder="1" applyAlignment="1">
      <alignment horizontal="left"/>
    </xf>
    <xf numFmtId="0" fontId="6" fillId="7" borderId="10" xfId="0" applyFont="1" applyFill="1" applyBorder="1" applyAlignment="1">
      <alignment horizontal="center"/>
    </xf>
    <xf numFmtId="0" fontId="6" fillId="7" borderId="37" xfId="0" applyFont="1" applyFill="1" applyBorder="1" applyAlignment="1">
      <alignment horizontal="center"/>
    </xf>
    <xf numFmtId="0" fontId="6" fillId="7" borderId="39" xfId="0" applyFont="1"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45"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8" xfId="0" applyBorder="1" applyAlignment="1">
      <alignment horizontal="center"/>
    </xf>
    <xf numFmtId="0" fontId="0" fillId="0" borderId="48" xfId="0" applyBorder="1" applyAlignment="1">
      <alignment horizontal="center"/>
    </xf>
    <xf numFmtId="180" fontId="3" fillId="11" borderId="1" xfId="0" applyNumberFormat="1" applyFont="1" applyFill="1" applyBorder="1"/>
    <xf numFmtId="0" fontId="3" fillId="11" borderId="1" xfId="0" applyFont="1" applyFill="1" applyBorder="1"/>
    <xf numFmtId="180" fontId="3" fillId="3" borderId="1" xfId="0" applyNumberFormat="1" applyFont="1" applyFill="1" applyBorder="1"/>
    <xf numFmtId="0" fontId="3" fillId="3" borderId="1" xfId="0" applyFont="1" applyFill="1" applyBorder="1"/>
    <xf numFmtId="0" fontId="11" fillId="7" borderId="33" xfId="0" applyFont="1" applyFill="1" applyBorder="1" applyAlignment="1">
      <alignment horizontal="center"/>
    </xf>
    <xf numFmtId="0" fontId="11" fillId="7" borderId="34" xfId="0" applyFont="1" applyFill="1" applyBorder="1" applyAlignment="1">
      <alignment horizontal="center"/>
    </xf>
    <xf numFmtId="0" fontId="11" fillId="7" borderId="35" xfId="0" applyFont="1" applyFill="1" applyBorder="1" applyAlignment="1">
      <alignment horizontal="center"/>
    </xf>
    <xf numFmtId="0" fontId="9" fillId="7" borderId="1" xfId="0" applyFont="1" applyFill="1" applyBorder="1" applyAlignment="1">
      <alignment horizontal="left"/>
    </xf>
    <xf numFmtId="0" fontId="9" fillId="11" borderId="11" xfId="0" applyFont="1" applyFill="1" applyBorder="1"/>
    <xf numFmtId="0" fontId="9" fillId="11" borderId="31" xfId="0" applyFont="1" applyFill="1" applyBorder="1"/>
    <xf numFmtId="0" fontId="9" fillId="11" borderId="32" xfId="0" applyFont="1" applyFill="1" applyBorder="1"/>
    <xf numFmtId="0" fontId="9" fillId="3" borderId="1" xfId="0" applyFont="1" applyFill="1" applyBorder="1"/>
    <xf numFmtId="0" fontId="6" fillId="7" borderId="36" xfId="0" applyFont="1" applyFill="1" applyBorder="1" applyAlignment="1">
      <alignment horizontal="center"/>
    </xf>
    <xf numFmtId="0" fontId="6" fillId="7" borderId="38" xfId="0" applyFont="1" applyFill="1" applyBorder="1" applyAlignment="1">
      <alignment horizontal="center"/>
    </xf>
    <xf numFmtId="0" fontId="0" fillId="0" borderId="40" xfId="0" applyBorder="1" applyAlignment="1">
      <alignment horizontal="center"/>
    </xf>
    <xf numFmtId="0" fontId="0" fillId="0" borderId="6"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181" fontId="0" fillId="0" borderId="1" xfId="0" applyNumberFormat="1" applyBorder="1" applyAlignment="1">
      <alignment horizontal="center"/>
    </xf>
    <xf numFmtId="181" fontId="0" fillId="11" borderId="1" xfId="0" applyNumberFormat="1" applyFill="1" applyBorder="1" applyAlignment="1">
      <alignment horizontal="center"/>
    </xf>
    <xf numFmtId="176" fontId="17" fillId="9" borderId="19" xfId="0" applyNumberFormat="1" applyFont="1" applyFill="1" applyBorder="1" applyProtection="1">
      <protection locked="0"/>
    </xf>
    <xf numFmtId="0" fontId="17" fillId="9" borderId="19" xfId="0" applyFont="1" applyFill="1" applyBorder="1" applyProtection="1">
      <protection locked="0"/>
    </xf>
    <xf numFmtId="49" fontId="23" fillId="11" borderId="19" xfId="0" applyNumberFormat="1" applyFont="1" applyFill="1" applyBorder="1" applyAlignment="1">
      <alignment horizontal="right"/>
    </xf>
    <xf numFmtId="0" fontId="0" fillId="0" borderId="0" xfId="0" applyProtection="1">
      <protection locked="0"/>
    </xf>
    <xf numFmtId="49" fontId="23" fillId="11" borderId="9" xfId="0" applyNumberFormat="1" applyFont="1" applyFill="1" applyBorder="1" applyAlignment="1">
      <alignment horizontal="right"/>
    </xf>
  </cellXfs>
  <cellStyles count="1">
    <cellStyle name="標準" xfId="0" builtinId="0"/>
  </cellStyles>
  <dxfs count="2">
    <dxf>
      <font>
        <condense val="0"/>
        <extend val="0"/>
        <color auto="1"/>
      </font>
      <fill>
        <patternFill>
          <bgColor indexed="50"/>
        </patternFill>
      </fill>
    </dxf>
    <dxf>
      <fill>
        <patternFill>
          <bgColor indexed="43"/>
        </patternFill>
      </fill>
    </dxf>
  </dxfs>
  <tableStyles count="0" defaultTableStyle="TableStyleMedium9"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51</xdr:col>
      <xdr:colOff>38100</xdr:colOff>
      <xdr:row>2</xdr:row>
      <xdr:rowOff>19050</xdr:rowOff>
    </xdr:from>
    <xdr:to>
      <xdr:col>56</xdr:col>
      <xdr:colOff>92765</xdr:colOff>
      <xdr:row>2</xdr:row>
      <xdr:rowOff>104775</xdr:rowOff>
    </xdr:to>
    <xdr:sp macro="" textlink="">
      <xdr:nvSpPr>
        <xdr:cNvPr id="20970" name="Color1" descr="右上がり対角線 (太)">
          <a:extLst>
            <a:ext uri="{FF2B5EF4-FFF2-40B4-BE49-F238E27FC236}">
              <a16:creationId xmlns:a16="http://schemas.microsoft.com/office/drawing/2014/main" id="{00000000-0008-0000-0000-0000EA510000}"/>
            </a:ext>
          </a:extLst>
        </xdr:cNvPr>
        <xdr:cNvSpPr>
          <a:spLocks noChangeArrowheads="1"/>
        </xdr:cNvSpPr>
      </xdr:nvSpPr>
      <xdr:spPr bwMode="auto">
        <a:xfrm>
          <a:off x="9477375" y="352425"/>
          <a:ext cx="552450" cy="85725"/>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3</xdr:row>
      <xdr:rowOff>19050</xdr:rowOff>
    </xdr:from>
    <xdr:to>
      <xdr:col>56</xdr:col>
      <xdr:colOff>92765</xdr:colOff>
      <xdr:row>3</xdr:row>
      <xdr:rowOff>104775</xdr:rowOff>
    </xdr:to>
    <xdr:sp macro="" textlink="">
      <xdr:nvSpPr>
        <xdr:cNvPr id="20971" name="Color2" descr="右上がり対角線 (太)">
          <a:extLst>
            <a:ext uri="{FF2B5EF4-FFF2-40B4-BE49-F238E27FC236}">
              <a16:creationId xmlns:a16="http://schemas.microsoft.com/office/drawing/2014/main" id="{00000000-0008-0000-0000-0000EB510000}"/>
            </a:ext>
          </a:extLst>
        </xdr:cNvPr>
        <xdr:cNvSpPr>
          <a:spLocks noChangeArrowheads="1"/>
        </xdr:cNvSpPr>
      </xdr:nvSpPr>
      <xdr:spPr bwMode="auto">
        <a:xfrm>
          <a:off x="9477375" y="485775"/>
          <a:ext cx="552450" cy="85725"/>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4</xdr:row>
      <xdr:rowOff>19050</xdr:rowOff>
    </xdr:from>
    <xdr:to>
      <xdr:col>56</xdr:col>
      <xdr:colOff>92765</xdr:colOff>
      <xdr:row>4</xdr:row>
      <xdr:rowOff>104775</xdr:rowOff>
    </xdr:to>
    <xdr:sp macro="" textlink="">
      <xdr:nvSpPr>
        <xdr:cNvPr id="20972" name="Color3" descr="右上がり対角線 (太)">
          <a:extLst>
            <a:ext uri="{FF2B5EF4-FFF2-40B4-BE49-F238E27FC236}">
              <a16:creationId xmlns:a16="http://schemas.microsoft.com/office/drawing/2014/main" id="{00000000-0008-0000-0000-0000EC510000}"/>
            </a:ext>
          </a:extLst>
        </xdr:cNvPr>
        <xdr:cNvSpPr>
          <a:spLocks noChangeArrowheads="1"/>
        </xdr:cNvSpPr>
      </xdr:nvSpPr>
      <xdr:spPr bwMode="auto">
        <a:xfrm>
          <a:off x="9477375" y="619125"/>
          <a:ext cx="552450" cy="85725"/>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5</xdr:row>
      <xdr:rowOff>19050</xdr:rowOff>
    </xdr:from>
    <xdr:to>
      <xdr:col>56</xdr:col>
      <xdr:colOff>92765</xdr:colOff>
      <xdr:row>5</xdr:row>
      <xdr:rowOff>104775</xdr:rowOff>
    </xdr:to>
    <xdr:sp macro="" textlink="">
      <xdr:nvSpPr>
        <xdr:cNvPr id="20973" name="Color4" descr="右上がり対角線 (太)">
          <a:extLst>
            <a:ext uri="{FF2B5EF4-FFF2-40B4-BE49-F238E27FC236}">
              <a16:creationId xmlns:a16="http://schemas.microsoft.com/office/drawing/2014/main" id="{00000000-0008-0000-0000-0000ED510000}"/>
            </a:ext>
          </a:extLst>
        </xdr:cNvPr>
        <xdr:cNvSpPr>
          <a:spLocks noChangeArrowheads="1"/>
        </xdr:cNvSpPr>
      </xdr:nvSpPr>
      <xdr:spPr bwMode="auto">
        <a:xfrm>
          <a:off x="9477375" y="752475"/>
          <a:ext cx="552450" cy="85725"/>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2</xdr:row>
      <xdr:rowOff>28575</xdr:rowOff>
    </xdr:from>
    <xdr:to>
      <xdr:col>77</xdr:col>
      <xdr:colOff>5384</xdr:colOff>
      <xdr:row>2</xdr:row>
      <xdr:rowOff>114300</xdr:rowOff>
    </xdr:to>
    <xdr:sp macro="" textlink="">
      <xdr:nvSpPr>
        <xdr:cNvPr id="20974" name="Color5" descr="右上がり対角線 (太)">
          <a:extLst>
            <a:ext uri="{FF2B5EF4-FFF2-40B4-BE49-F238E27FC236}">
              <a16:creationId xmlns:a16="http://schemas.microsoft.com/office/drawing/2014/main" id="{00000000-0008-0000-0000-0000EE510000}"/>
            </a:ext>
          </a:extLst>
        </xdr:cNvPr>
        <xdr:cNvSpPr>
          <a:spLocks noChangeArrowheads="1"/>
        </xdr:cNvSpPr>
      </xdr:nvSpPr>
      <xdr:spPr bwMode="auto">
        <a:xfrm>
          <a:off x="11734800" y="361950"/>
          <a:ext cx="552450" cy="85725"/>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3</xdr:row>
      <xdr:rowOff>38100</xdr:rowOff>
    </xdr:from>
    <xdr:to>
      <xdr:col>77</xdr:col>
      <xdr:colOff>5384</xdr:colOff>
      <xdr:row>3</xdr:row>
      <xdr:rowOff>123825</xdr:rowOff>
    </xdr:to>
    <xdr:sp macro="" textlink="">
      <xdr:nvSpPr>
        <xdr:cNvPr id="20975" name="Color6" descr="右上がり対角線 (太)">
          <a:extLst>
            <a:ext uri="{FF2B5EF4-FFF2-40B4-BE49-F238E27FC236}">
              <a16:creationId xmlns:a16="http://schemas.microsoft.com/office/drawing/2014/main" id="{00000000-0008-0000-0000-0000EF510000}"/>
            </a:ext>
          </a:extLst>
        </xdr:cNvPr>
        <xdr:cNvSpPr>
          <a:spLocks noChangeArrowheads="1"/>
        </xdr:cNvSpPr>
      </xdr:nvSpPr>
      <xdr:spPr bwMode="auto">
        <a:xfrm>
          <a:off x="11734800" y="504825"/>
          <a:ext cx="552450" cy="85725"/>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xdr:from>
      <xdr:col>35</xdr:col>
      <xdr:colOff>0</xdr:colOff>
      <xdr:row>12</xdr:row>
      <xdr:rowOff>114300</xdr:rowOff>
    </xdr:from>
    <xdr:to>
      <xdr:col>35</xdr:col>
      <xdr:colOff>0</xdr:colOff>
      <xdr:row>13</xdr:row>
      <xdr:rowOff>0</xdr:rowOff>
    </xdr:to>
    <xdr:sp macro="" textlink="">
      <xdr:nvSpPr>
        <xdr:cNvPr id="20976" name="Freeform 5141">
          <a:extLst>
            <a:ext uri="{FF2B5EF4-FFF2-40B4-BE49-F238E27FC236}">
              <a16:creationId xmlns:a16="http://schemas.microsoft.com/office/drawing/2014/main" id="{00000000-0008-0000-0000-0000F0510000}"/>
            </a:ext>
          </a:extLst>
        </xdr:cNvPr>
        <xdr:cNvSpPr>
          <a:spLocks/>
        </xdr:cNvSpPr>
      </xdr:nvSpPr>
      <xdr:spPr bwMode="auto">
        <a:xfrm>
          <a:off x="76866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69</xdr:col>
      <xdr:colOff>0</xdr:colOff>
      <xdr:row>12</xdr:row>
      <xdr:rowOff>114300</xdr:rowOff>
    </xdr:from>
    <xdr:to>
      <xdr:col>69</xdr:col>
      <xdr:colOff>9525</xdr:colOff>
      <xdr:row>13</xdr:row>
      <xdr:rowOff>0</xdr:rowOff>
    </xdr:to>
    <xdr:sp macro="" textlink="">
      <xdr:nvSpPr>
        <xdr:cNvPr id="20977" name="Freeform 5141">
          <a:extLst>
            <a:ext uri="{FF2B5EF4-FFF2-40B4-BE49-F238E27FC236}">
              <a16:creationId xmlns:a16="http://schemas.microsoft.com/office/drawing/2014/main" id="{00000000-0008-0000-0000-0000F1510000}"/>
            </a:ext>
          </a:extLst>
        </xdr:cNvPr>
        <xdr:cNvSpPr>
          <a:spLocks/>
        </xdr:cNvSpPr>
      </xdr:nvSpPr>
      <xdr:spPr bwMode="auto">
        <a:xfrm>
          <a:off x="11439525"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107</xdr:col>
      <xdr:colOff>0</xdr:colOff>
      <xdr:row>12</xdr:row>
      <xdr:rowOff>114300</xdr:rowOff>
    </xdr:from>
    <xdr:to>
      <xdr:col>107</xdr:col>
      <xdr:colOff>9525</xdr:colOff>
      <xdr:row>13</xdr:row>
      <xdr:rowOff>0</xdr:rowOff>
    </xdr:to>
    <xdr:sp macro="" textlink="">
      <xdr:nvSpPr>
        <xdr:cNvPr id="20978" name="Freeform 5141">
          <a:extLst>
            <a:ext uri="{FF2B5EF4-FFF2-40B4-BE49-F238E27FC236}">
              <a16:creationId xmlns:a16="http://schemas.microsoft.com/office/drawing/2014/main" id="{00000000-0008-0000-0000-0000F2510000}"/>
            </a:ext>
          </a:extLst>
        </xdr:cNvPr>
        <xdr:cNvSpPr>
          <a:spLocks/>
        </xdr:cNvSpPr>
      </xdr:nvSpPr>
      <xdr:spPr bwMode="auto">
        <a:xfrm>
          <a:off x="159258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147</xdr:col>
      <xdr:colOff>0</xdr:colOff>
      <xdr:row>12</xdr:row>
      <xdr:rowOff>114300</xdr:rowOff>
    </xdr:from>
    <xdr:to>
      <xdr:col>147</xdr:col>
      <xdr:colOff>9525</xdr:colOff>
      <xdr:row>13</xdr:row>
      <xdr:rowOff>0</xdr:rowOff>
    </xdr:to>
    <xdr:sp macro="" textlink="">
      <xdr:nvSpPr>
        <xdr:cNvPr id="20979" name="Freeform 5141">
          <a:extLst>
            <a:ext uri="{FF2B5EF4-FFF2-40B4-BE49-F238E27FC236}">
              <a16:creationId xmlns:a16="http://schemas.microsoft.com/office/drawing/2014/main" id="{00000000-0008-0000-0000-0000F3510000}"/>
            </a:ext>
          </a:extLst>
        </xdr:cNvPr>
        <xdr:cNvSpPr>
          <a:spLocks/>
        </xdr:cNvSpPr>
      </xdr:nvSpPr>
      <xdr:spPr bwMode="auto">
        <a:xfrm>
          <a:off x="203835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0</xdr:colOff>
      <xdr:row>12</xdr:row>
      <xdr:rowOff>114300</xdr:rowOff>
    </xdr:from>
    <xdr:to>
      <xdr:col>55</xdr:col>
      <xdr:colOff>0</xdr:colOff>
      <xdr:row>13</xdr:row>
      <xdr:rowOff>0</xdr:rowOff>
    </xdr:to>
    <xdr:sp macro="" textlink="">
      <xdr:nvSpPr>
        <xdr:cNvPr id="20982" name="Freeform 5141">
          <a:extLst>
            <a:ext uri="{FF2B5EF4-FFF2-40B4-BE49-F238E27FC236}">
              <a16:creationId xmlns:a16="http://schemas.microsoft.com/office/drawing/2014/main" id="{00000000-0008-0000-0000-0000F6510000}"/>
            </a:ext>
          </a:extLst>
        </xdr:cNvPr>
        <xdr:cNvSpPr>
          <a:spLocks/>
        </xdr:cNvSpPr>
      </xdr:nvSpPr>
      <xdr:spPr bwMode="auto">
        <a:xfrm>
          <a:off x="995362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75</xdr:col>
      <xdr:colOff>0</xdr:colOff>
      <xdr:row>12</xdr:row>
      <xdr:rowOff>114300</xdr:rowOff>
    </xdr:from>
    <xdr:to>
      <xdr:col>75</xdr:col>
      <xdr:colOff>0</xdr:colOff>
      <xdr:row>13</xdr:row>
      <xdr:rowOff>0</xdr:rowOff>
    </xdr:to>
    <xdr:sp macro="" textlink="">
      <xdr:nvSpPr>
        <xdr:cNvPr id="20983" name="Freeform 5141">
          <a:extLst>
            <a:ext uri="{FF2B5EF4-FFF2-40B4-BE49-F238E27FC236}">
              <a16:creationId xmlns:a16="http://schemas.microsoft.com/office/drawing/2014/main" id="{00000000-0008-0000-0000-0000F7510000}"/>
            </a:ext>
          </a:extLst>
        </xdr:cNvPr>
        <xdr:cNvSpPr>
          <a:spLocks/>
        </xdr:cNvSpPr>
      </xdr:nvSpPr>
      <xdr:spPr bwMode="auto">
        <a:xfrm>
          <a:off x="121824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134</xdr:col>
      <xdr:colOff>0</xdr:colOff>
      <xdr:row>12</xdr:row>
      <xdr:rowOff>114300</xdr:rowOff>
    </xdr:from>
    <xdr:to>
      <xdr:col>134</xdr:col>
      <xdr:colOff>0</xdr:colOff>
      <xdr:row>13</xdr:row>
      <xdr:rowOff>0</xdr:rowOff>
    </xdr:to>
    <xdr:sp macro="" textlink="">
      <xdr:nvSpPr>
        <xdr:cNvPr id="20984" name="Freeform 5141">
          <a:extLst>
            <a:ext uri="{FF2B5EF4-FFF2-40B4-BE49-F238E27FC236}">
              <a16:creationId xmlns:a16="http://schemas.microsoft.com/office/drawing/2014/main" id="{00000000-0008-0000-0000-0000F8510000}"/>
            </a:ext>
          </a:extLst>
        </xdr:cNvPr>
        <xdr:cNvSpPr>
          <a:spLocks/>
        </xdr:cNvSpPr>
      </xdr:nvSpPr>
      <xdr:spPr bwMode="auto">
        <a:xfrm>
          <a:off x="188976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154</xdr:col>
      <xdr:colOff>0</xdr:colOff>
      <xdr:row>12</xdr:row>
      <xdr:rowOff>114300</xdr:rowOff>
    </xdr:from>
    <xdr:to>
      <xdr:col>154</xdr:col>
      <xdr:colOff>0</xdr:colOff>
      <xdr:row>13</xdr:row>
      <xdr:rowOff>0</xdr:rowOff>
    </xdr:to>
    <xdr:sp macro="" textlink="">
      <xdr:nvSpPr>
        <xdr:cNvPr id="20985" name="Freeform 5141">
          <a:extLst>
            <a:ext uri="{FF2B5EF4-FFF2-40B4-BE49-F238E27FC236}">
              <a16:creationId xmlns:a16="http://schemas.microsoft.com/office/drawing/2014/main" id="{00000000-0008-0000-0000-0000F9510000}"/>
            </a:ext>
          </a:extLst>
        </xdr:cNvPr>
        <xdr:cNvSpPr>
          <a:spLocks/>
        </xdr:cNvSpPr>
      </xdr:nvSpPr>
      <xdr:spPr bwMode="auto">
        <a:xfrm>
          <a:off x="211264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174</xdr:col>
      <xdr:colOff>0</xdr:colOff>
      <xdr:row>12</xdr:row>
      <xdr:rowOff>114300</xdr:rowOff>
    </xdr:from>
    <xdr:to>
      <xdr:col>174</xdr:col>
      <xdr:colOff>0</xdr:colOff>
      <xdr:row>13</xdr:row>
      <xdr:rowOff>0</xdr:rowOff>
    </xdr:to>
    <xdr:sp macro="" textlink="">
      <xdr:nvSpPr>
        <xdr:cNvPr id="20986" name="Freeform 5141">
          <a:extLst>
            <a:ext uri="{FF2B5EF4-FFF2-40B4-BE49-F238E27FC236}">
              <a16:creationId xmlns:a16="http://schemas.microsoft.com/office/drawing/2014/main" id="{00000000-0008-0000-0000-0000FA510000}"/>
            </a:ext>
          </a:extLst>
        </xdr:cNvPr>
        <xdr:cNvSpPr>
          <a:spLocks/>
        </xdr:cNvSpPr>
      </xdr:nvSpPr>
      <xdr:spPr bwMode="auto">
        <a:xfrm>
          <a:off x="233553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194</xdr:col>
      <xdr:colOff>0</xdr:colOff>
      <xdr:row>12</xdr:row>
      <xdr:rowOff>114300</xdr:rowOff>
    </xdr:from>
    <xdr:to>
      <xdr:col>194</xdr:col>
      <xdr:colOff>0</xdr:colOff>
      <xdr:row>13</xdr:row>
      <xdr:rowOff>0</xdr:rowOff>
    </xdr:to>
    <xdr:sp macro="" textlink="">
      <xdr:nvSpPr>
        <xdr:cNvPr id="20987" name="Freeform 5141">
          <a:extLst>
            <a:ext uri="{FF2B5EF4-FFF2-40B4-BE49-F238E27FC236}">
              <a16:creationId xmlns:a16="http://schemas.microsoft.com/office/drawing/2014/main" id="{00000000-0008-0000-0000-0000FB510000}"/>
            </a:ext>
          </a:extLst>
        </xdr:cNvPr>
        <xdr:cNvSpPr>
          <a:spLocks/>
        </xdr:cNvSpPr>
      </xdr:nvSpPr>
      <xdr:spPr bwMode="auto">
        <a:xfrm>
          <a:off x="255841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214</xdr:col>
      <xdr:colOff>0</xdr:colOff>
      <xdr:row>12</xdr:row>
      <xdr:rowOff>114300</xdr:rowOff>
    </xdr:from>
    <xdr:to>
      <xdr:col>214</xdr:col>
      <xdr:colOff>0</xdr:colOff>
      <xdr:row>13</xdr:row>
      <xdr:rowOff>0</xdr:rowOff>
    </xdr:to>
    <xdr:sp macro="" textlink="">
      <xdr:nvSpPr>
        <xdr:cNvPr id="20988" name="Freeform 5141">
          <a:extLst>
            <a:ext uri="{FF2B5EF4-FFF2-40B4-BE49-F238E27FC236}">
              <a16:creationId xmlns:a16="http://schemas.microsoft.com/office/drawing/2014/main" id="{00000000-0008-0000-0000-0000FC510000}"/>
            </a:ext>
          </a:extLst>
        </xdr:cNvPr>
        <xdr:cNvSpPr>
          <a:spLocks/>
        </xdr:cNvSpPr>
      </xdr:nvSpPr>
      <xdr:spPr bwMode="auto">
        <a:xfrm>
          <a:off x="278130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9525</xdr:colOff>
      <xdr:row>0</xdr:row>
      <xdr:rowOff>9525</xdr:rowOff>
    </xdr:from>
    <xdr:to>
      <xdr:col>0</xdr:col>
      <xdr:colOff>95250</xdr:colOff>
      <xdr:row>1</xdr:row>
      <xdr:rowOff>28575</xdr:rowOff>
    </xdr:to>
    <xdr:sp macro="" textlink="">
      <xdr:nvSpPr>
        <xdr:cNvPr id="20991" name="Text Box 10158" descr="$$$$">
          <a:extLst>
            <a:ext uri="{FF2B5EF4-FFF2-40B4-BE49-F238E27FC236}">
              <a16:creationId xmlns:a16="http://schemas.microsoft.com/office/drawing/2014/main" id="{00000000-0008-0000-0000-0000FF510000}"/>
            </a:ext>
          </a:extLst>
        </xdr:cNvPr>
        <xdr:cNvSpPr txBox="1">
          <a:spLocks noChangeArrowheads="1"/>
        </xdr:cNvSpPr>
      </xdr:nvSpPr>
      <xdr:spPr bwMode="auto">
        <a:xfrm>
          <a:off x="9525" y="95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0</xdr:col>
      <xdr:colOff>123825</xdr:colOff>
      <xdr:row>0</xdr:row>
      <xdr:rowOff>123825</xdr:rowOff>
    </xdr:from>
    <xdr:to>
      <xdr:col>1</xdr:col>
      <xdr:colOff>28575</xdr:colOff>
      <xdr:row>1</xdr:row>
      <xdr:rowOff>142875</xdr:rowOff>
    </xdr:to>
    <xdr:sp macro="" textlink="">
      <xdr:nvSpPr>
        <xdr:cNvPr id="20992" name="Text Box 10159" descr="$$$$">
          <a:extLst>
            <a:ext uri="{FF2B5EF4-FFF2-40B4-BE49-F238E27FC236}">
              <a16:creationId xmlns:a16="http://schemas.microsoft.com/office/drawing/2014/main" id="{00000000-0008-0000-0000-000000520000}"/>
            </a:ext>
          </a:extLst>
        </xdr:cNvPr>
        <xdr:cNvSpPr txBox="1">
          <a:spLocks noChangeArrowheads="1"/>
        </xdr:cNvSpPr>
      </xdr:nvSpPr>
      <xdr:spPr bwMode="auto">
        <a:xfrm>
          <a:off x="123825" y="1238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30</xdr:col>
      <xdr:colOff>0</xdr:colOff>
      <xdr:row>2</xdr:row>
      <xdr:rowOff>19050</xdr:rowOff>
    </xdr:from>
    <xdr:to>
      <xdr:col>35</xdr:col>
      <xdr:colOff>57150</xdr:colOff>
      <xdr:row>2</xdr:row>
      <xdr:rowOff>104775</xdr:rowOff>
    </xdr:to>
    <xdr:sp macro="" textlink="">
      <xdr:nvSpPr>
        <xdr:cNvPr id="20993" name="ColorTeam1" descr="右上がり対角線 (太)">
          <a:extLst>
            <a:ext uri="{FF2B5EF4-FFF2-40B4-BE49-F238E27FC236}">
              <a16:creationId xmlns:a16="http://schemas.microsoft.com/office/drawing/2014/main" id="{00000000-0008-0000-0000-000001520000}"/>
            </a:ext>
          </a:extLst>
        </xdr:cNvPr>
        <xdr:cNvSpPr>
          <a:spLocks noChangeArrowheads="1"/>
        </xdr:cNvSpPr>
      </xdr:nvSpPr>
      <xdr:spPr bwMode="auto">
        <a:xfrm>
          <a:off x="7067550" y="352425"/>
          <a:ext cx="552450" cy="85725"/>
        </a:xfrm>
        <a:prstGeom prst="rect">
          <a:avLst/>
        </a:prstGeom>
        <a:gradFill rotWithShape="0">
          <a:gsLst>
            <a:gs pos="0">
              <a:srgbClr val="333399"/>
            </a:gs>
            <a:gs pos="100000">
              <a:srgbClr val="3366FF"/>
            </a:gs>
          </a:gsLst>
          <a:lin ang="0" scaled="1"/>
        </a:gradFill>
        <a:ln w="9525">
          <a:solidFill>
            <a:srgbClr val="000000"/>
          </a:solidFill>
          <a:miter lim="800000"/>
          <a:headEnd/>
          <a:tailEnd/>
        </a:ln>
      </xdr:spPr>
    </xdr:sp>
    <xdr:clientData/>
  </xdr:twoCellAnchor>
  <xdr:twoCellAnchor editAs="oneCell">
    <xdr:from>
      <xdr:col>30</xdr:col>
      <xdr:colOff>0</xdr:colOff>
      <xdr:row>3</xdr:row>
      <xdr:rowOff>19050</xdr:rowOff>
    </xdr:from>
    <xdr:to>
      <xdr:col>35</xdr:col>
      <xdr:colOff>57150</xdr:colOff>
      <xdr:row>3</xdr:row>
      <xdr:rowOff>104775</xdr:rowOff>
    </xdr:to>
    <xdr:sp macro="" textlink="">
      <xdr:nvSpPr>
        <xdr:cNvPr id="20994" name="ColorTeam2" descr="右上がり対角線 (太)">
          <a:extLst>
            <a:ext uri="{FF2B5EF4-FFF2-40B4-BE49-F238E27FC236}">
              <a16:creationId xmlns:a16="http://schemas.microsoft.com/office/drawing/2014/main" id="{00000000-0008-0000-0000-000002520000}"/>
            </a:ext>
          </a:extLst>
        </xdr:cNvPr>
        <xdr:cNvSpPr>
          <a:spLocks noChangeArrowheads="1"/>
        </xdr:cNvSpPr>
      </xdr:nvSpPr>
      <xdr:spPr bwMode="auto">
        <a:xfrm>
          <a:off x="7067550" y="485775"/>
          <a:ext cx="552450" cy="85725"/>
        </a:xfrm>
        <a:prstGeom prst="rect">
          <a:avLst/>
        </a:prstGeom>
        <a:gradFill rotWithShape="0">
          <a:gsLst>
            <a:gs pos="0">
              <a:srgbClr val="008000"/>
            </a:gs>
            <a:gs pos="100000">
              <a:srgbClr val="00FF00"/>
            </a:gs>
          </a:gsLst>
          <a:lin ang="0" scaled="1"/>
        </a:gradFill>
        <a:ln w="9525">
          <a:solidFill>
            <a:srgbClr val="000000"/>
          </a:solidFill>
          <a:miter lim="800000"/>
          <a:headEnd/>
          <a:tailEnd/>
        </a:ln>
      </xdr:spPr>
    </xdr:sp>
    <xdr:clientData/>
  </xdr:twoCellAnchor>
  <xdr:twoCellAnchor editAs="oneCell">
    <xdr:from>
      <xdr:col>30</xdr:col>
      <xdr:colOff>0</xdr:colOff>
      <xdr:row>4</xdr:row>
      <xdr:rowOff>19050</xdr:rowOff>
    </xdr:from>
    <xdr:to>
      <xdr:col>35</xdr:col>
      <xdr:colOff>57150</xdr:colOff>
      <xdr:row>4</xdr:row>
      <xdr:rowOff>104775</xdr:rowOff>
    </xdr:to>
    <xdr:sp macro="" textlink="">
      <xdr:nvSpPr>
        <xdr:cNvPr id="20995" name="ColorTeam3" descr="右上がり対角線 (太)">
          <a:extLst>
            <a:ext uri="{FF2B5EF4-FFF2-40B4-BE49-F238E27FC236}">
              <a16:creationId xmlns:a16="http://schemas.microsoft.com/office/drawing/2014/main" id="{00000000-0008-0000-0000-000003520000}"/>
            </a:ext>
          </a:extLst>
        </xdr:cNvPr>
        <xdr:cNvSpPr>
          <a:spLocks noChangeArrowheads="1"/>
        </xdr:cNvSpPr>
      </xdr:nvSpPr>
      <xdr:spPr bwMode="auto">
        <a:xfrm>
          <a:off x="7067550" y="619125"/>
          <a:ext cx="552450" cy="85725"/>
        </a:xfrm>
        <a:prstGeom prst="rect">
          <a:avLst/>
        </a:prstGeom>
        <a:gradFill rotWithShape="0">
          <a:gsLst>
            <a:gs pos="0">
              <a:srgbClr val="993366"/>
            </a:gs>
            <a:gs pos="100000">
              <a:srgbClr val="CC99FF"/>
            </a:gs>
          </a:gsLst>
          <a:lin ang="0" scaled="1"/>
        </a:gra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57150</xdr:colOff>
          <xdr:row>5</xdr:row>
          <xdr:rowOff>19050</xdr:rowOff>
        </xdr:from>
        <xdr:to>
          <xdr:col>3</xdr:col>
          <xdr:colOff>295275</xdr:colOff>
          <xdr:row>6</xdr:row>
          <xdr:rowOff>114300</xdr:rowOff>
        </xdr:to>
        <xdr:sp macro="" textlink="">
          <xdr:nvSpPr>
            <xdr:cNvPr id="1026" name="btnRefres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xdr:row>
          <xdr:rowOff>104775</xdr:rowOff>
        </xdr:from>
        <xdr:to>
          <xdr:col>4</xdr:col>
          <xdr:colOff>9525</xdr:colOff>
          <xdr:row>9</xdr:row>
          <xdr:rowOff>0</xdr:rowOff>
        </xdr:to>
        <xdr:sp macro="" textlink="">
          <xdr:nvSpPr>
            <xdr:cNvPr id="3035" name="btnSetSchedule" hidden="1">
              <a:extLst>
                <a:ext uri="{63B3BB69-23CF-44E3-9099-C40C66FF867C}">
                  <a14:compatExt spid="_x0000_s3035"/>
                </a:ext>
                <a:ext uri="{FF2B5EF4-FFF2-40B4-BE49-F238E27FC236}">
                  <a16:creationId xmlns:a16="http://schemas.microsoft.com/office/drawing/2014/main" id="{00000000-0008-0000-0000-0000DB0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5</xdr:row>
          <xdr:rowOff>19050</xdr:rowOff>
        </xdr:from>
        <xdr:to>
          <xdr:col>93</xdr:col>
          <xdr:colOff>38100</xdr:colOff>
          <xdr:row>6</xdr:row>
          <xdr:rowOff>114300</xdr:rowOff>
        </xdr:to>
        <xdr:sp macro="" textlink="">
          <xdr:nvSpPr>
            <xdr:cNvPr id="6536" name="ChkInazumaLine" hidden="1">
              <a:extLst>
                <a:ext uri="{63B3BB69-23CF-44E3-9099-C40C66FF867C}">
                  <a14:compatExt spid="_x0000_s6536"/>
                </a:ext>
                <a:ext uri="{FF2B5EF4-FFF2-40B4-BE49-F238E27FC236}">
                  <a16:creationId xmlns:a16="http://schemas.microsoft.com/office/drawing/2014/main" id="{00000000-0008-0000-0000-0000881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3</xdr:row>
          <xdr:rowOff>57150</xdr:rowOff>
        </xdr:from>
        <xdr:to>
          <xdr:col>4</xdr:col>
          <xdr:colOff>9525</xdr:colOff>
          <xdr:row>5</xdr:row>
          <xdr:rowOff>19050</xdr:rowOff>
        </xdr:to>
        <xdr:sp macro="" textlink="">
          <xdr:nvSpPr>
            <xdr:cNvPr id="8895" name="btnReSchedule" hidden="1">
              <a:extLst>
                <a:ext uri="{63B3BB69-23CF-44E3-9099-C40C66FF867C}">
                  <a14:compatExt spid="_x0000_s8895"/>
                </a:ext>
                <a:ext uri="{FF2B5EF4-FFF2-40B4-BE49-F238E27FC236}">
                  <a16:creationId xmlns:a16="http://schemas.microsoft.com/office/drawing/2014/main" id="{00000000-0008-0000-0000-0000BF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295275</xdr:colOff>
          <xdr:row>5</xdr:row>
          <xdr:rowOff>19050</xdr:rowOff>
        </xdr:from>
        <xdr:to>
          <xdr:col>4</xdr:col>
          <xdr:colOff>9525</xdr:colOff>
          <xdr:row>6</xdr:row>
          <xdr:rowOff>114300</xdr:rowOff>
        </xdr:to>
        <xdr:sp macro="" textlink="">
          <xdr:nvSpPr>
            <xdr:cNvPr id="16078" name="btnAddRows" hidden="1">
              <a:extLst>
                <a:ext uri="{63B3BB69-23CF-44E3-9099-C40C66FF867C}">
                  <a14:compatExt spid="_x0000_s16078"/>
                </a:ext>
                <a:ext uri="{FF2B5EF4-FFF2-40B4-BE49-F238E27FC236}">
                  <a16:creationId xmlns:a16="http://schemas.microsoft.com/office/drawing/2014/main" id="{00000000-0008-0000-0000-0000CE3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6</xdr:row>
          <xdr:rowOff>76200</xdr:rowOff>
        </xdr:from>
        <xdr:to>
          <xdr:col>93</xdr:col>
          <xdr:colOff>38100</xdr:colOff>
          <xdr:row>8</xdr:row>
          <xdr:rowOff>47625</xdr:rowOff>
        </xdr:to>
        <xdr:sp macro="" textlink="">
          <xdr:nvSpPr>
            <xdr:cNvPr id="16411" name="ChkBarTitle"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19050</xdr:rowOff>
        </xdr:from>
        <xdr:to>
          <xdr:col>3</xdr:col>
          <xdr:colOff>342900</xdr:colOff>
          <xdr:row>11</xdr:row>
          <xdr:rowOff>38100</xdr:rowOff>
        </xdr:to>
        <xdr:sp macro="" textlink="">
          <xdr:nvSpPr>
            <xdr:cNvPr id="17885" name="CheckBox1" hidden="1">
              <a:extLst>
                <a:ext uri="{63B3BB69-23CF-44E3-9099-C40C66FF867C}">
                  <a14:compatExt spid="_x0000_s17885"/>
                </a:ext>
                <a:ext uri="{FF2B5EF4-FFF2-40B4-BE49-F238E27FC236}">
                  <a16:creationId xmlns:a16="http://schemas.microsoft.com/office/drawing/2014/main" id="{00000000-0008-0000-0000-0000DD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10</xdr:row>
          <xdr:rowOff>28575</xdr:rowOff>
        </xdr:from>
        <xdr:to>
          <xdr:col>4</xdr:col>
          <xdr:colOff>57150</xdr:colOff>
          <xdr:row>11</xdr:row>
          <xdr:rowOff>47625</xdr:rowOff>
        </xdr:to>
        <xdr:sp macro="" textlink="">
          <xdr:nvSpPr>
            <xdr:cNvPr id="17886" name="CheckBox2" hidden="1">
              <a:extLst>
                <a:ext uri="{63B3BB69-23CF-44E3-9099-C40C66FF867C}">
                  <a14:compatExt spid="_x0000_s17886"/>
                </a:ext>
                <a:ext uri="{FF2B5EF4-FFF2-40B4-BE49-F238E27FC236}">
                  <a16:creationId xmlns:a16="http://schemas.microsoft.com/office/drawing/2014/main" id="{00000000-0008-0000-0000-0000DE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71</xdr:col>
      <xdr:colOff>47625</xdr:colOff>
      <xdr:row>4</xdr:row>
      <xdr:rowOff>28575</xdr:rowOff>
    </xdr:from>
    <xdr:to>
      <xdr:col>77</xdr:col>
      <xdr:colOff>5384</xdr:colOff>
      <xdr:row>4</xdr:row>
      <xdr:rowOff>114300</xdr:rowOff>
    </xdr:to>
    <xdr:sp macro="" textlink="">
      <xdr:nvSpPr>
        <xdr:cNvPr id="20996" name="Color7" descr="右上がり対角線 (太)">
          <a:extLst>
            <a:ext uri="{FF2B5EF4-FFF2-40B4-BE49-F238E27FC236}">
              <a16:creationId xmlns:a16="http://schemas.microsoft.com/office/drawing/2014/main" id="{00000000-0008-0000-0000-000004520000}"/>
            </a:ext>
          </a:extLst>
        </xdr:cNvPr>
        <xdr:cNvSpPr>
          <a:spLocks noChangeArrowheads="1"/>
        </xdr:cNvSpPr>
      </xdr:nvSpPr>
      <xdr:spPr bwMode="auto">
        <a:xfrm>
          <a:off x="11734800" y="628650"/>
          <a:ext cx="552450" cy="85725"/>
        </a:xfrm>
        <a:prstGeom prst="rect">
          <a:avLst/>
        </a:prstGeom>
        <a:blipFill dpi="0" rotWithShape="0">
          <a:blip xmlns:r="http://schemas.openxmlformats.org/officeDocument/2006/relationships" r:embed="rId7"/>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5</xdr:row>
      <xdr:rowOff>28575</xdr:rowOff>
    </xdr:from>
    <xdr:to>
      <xdr:col>77</xdr:col>
      <xdr:colOff>5384</xdr:colOff>
      <xdr:row>5</xdr:row>
      <xdr:rowOff>114300</xdr:rowOff>
    </xdr:to>
    <xdr:sp macro="" textlink="">
      <xdr:nvSpPr>
        <xdr:cNvPr id="20997" name="Color8" descr="右上がり対角線 (太)">
          <a:extLst>
            <a:ext uri="{FF2B5EF4-FFF2-40B4-BE49-F238E27FC236}">
              <a16:creationId xmlns:a16="http://schemas.microsoft.com/office/drawing/2014/main" id="{00000000-0008-0000-0000-000005520000}"/>
            </a:ext>
          </a:extLst>
        </xdr:cNvPr>
        <xdr:cNvSpPr>
          <a:spLocks noChangeArrowheads="1"/>
        </xdr:cNvSpPr>
      </xdr:nvSpPr>
      <xdr:spPr bwMode="auto">
        <a:xfrm>
          <a:off x="11734800" y="762000"/>
          <a:ext cx="552450" cy="85725"/>
        </a:xfrm>
        <a:prstGeom prst="rect">
          <a:avLst/>
        </a:prstGeom>
        <a:blipFill dpi="0" rotWithShape="0">
          <a:blip xmlns:r="http://schemas.openxmlformats.org/officeDocument/2006/relationships" r:embed="rId8"/>
          <a:srcRect/>
          <a:tile tx="0" ty="0" sx="100000" sy="100000" flip="none" algn="tl"/>
        </a:blipFill>
        <a:ln w="9525">
          <a:solidFill>
            <a:srgbClr val="000000"/>
          </a:solidFill>
          <a:miter lim="800000"/>
          <a:headEnd/>
          <a:tailEnd/>
        </a:ln>
      </xdr:spPr>
    </xdr:sp>
    <xdr:clientData/>
  </xdr:twoCellAnchor>
  <xdr:twoCellAnchor editAs="oneCell">
    <xdr:from>
      <xdr:col>88</xdr:col>
      <xdr:colOff>104775</xdr:colOff>
      <xdr:row>2</xdr:row>
      <xdr:rowOff>28575</xdr:rowOff>
    </xdr:from>
    <xdr:to>
      <xdr:col>93</xdr:col>
      <xdr:colOff>57150</xdr:colOff>
      <xdr:row>2</xdr:row>
      <xdr:rowOff>114300</xdr:rowOff>
    </xdr:to>
    <xdr:sp macro="" textlink="">
      <xdr:nvSpPr>
        <xdr:cNvPr id="20998" name="ColorNone">
          <a:extLst>
            <a:ext uri="{FF2B5EF4-FFF2-40B4-BE49-F238E27FC236}">
              <a16:creationId xmlns:a16="http://schemas.microsoft.com/office/drawing/2014/main" id="{00000000-0008-0000-0000-000006520000}"/>
            </a:ext>
          </a:extLst>
        </xdr:cNvPr>
        <xdr:cNvSpPr>
          <a:spLocks noChangeArrowheads="1"/>
        </xdr:cNvSpPr>
      </xdr:nvSpPr>
      <xdr:spPr bwMode="auto">
        <a:xfrm>
          <a:off x="13801725" y="361950"/>
          <a:ext cx="457200" cy="85725"/>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88</xdr:col>
      <xdr:colOff>104775</xdr:colOff>
      <xdr:row>3</xdr:row>
      <xdr:rowOff>28575</xdr:rowOff>
    </xdr:from>
    <xdr:to>
      <xdr:col>93</xdr:col>
      <xdr:colOff>57150</xdr:colOff>
      <xdr:row>3</xdr:row>
      <xdr:rowOff>114300</xdr:rowOff>
    </xdr:to>
    <xdr:sp macro="" textlink="">
      <xdr:nvSpPr>
        <xdr:cNvPr id="20999" name="ColorProgress">
          <a:extLst>
            <a:ext uri="{FF2B5EF4-FFF2-40B4-BE49-F238E27FC236}">
              <a16:creationId xmlns:a16="http://schemas.microsoft.com/office/drawing/2014/main" id="{00000000-0008-0000-0000-000007520000}"/>
            </a:ext>
          </a:extLst>
        </xdr:cNvPr>
        <xdr:cNvSpPr>
          <a:spLocks noChangeArrowheads="1"/>
        </xdr:cNvSpPr>
      </xdr:nvSpPr>
      <xdr:spPr bwMode="auto">
        <a:xfrm>
          <a:off x="13801725" y="495300"/>
          <a:ext cx="457200" cy="85725"/>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twoCellAnchor editAs="oneCell">
    <xdr:from>
      <xdr:col>88</xdr:col>
      <xdr:colOff>104775</xdr:colOff>
      <xdr:row>4</xdr:row>
      <xdr:rowOff>19050</xdr:rowOff>
    </xdr:from>
    <xdr:to>
      <xdr:col>93</xdr:col>
      <xdr:colOff>57150</xdr:colOff>
      <xdr:row>4</xdr:row>
      <xdr:rowOff>104775</xdr:rowOff>
    </xdr:to>
    <xdr:sp macro="" textlink="">
      <xdr:nvSpPr>
        <xdr:cNvPr id="21000" name="ColorResult">
          <a:extLst>
            <a:ext uri="{FF2B5EF4-FFF2-40B4-BE49-F238E27FC236}">
              <a16:creationId xmlns:a16="http://schemas.microsoft.com/office/drawing/2014/main" id="{00000000-0008-0000-0000-000008520000}"/>
            </a:ext>
          </a:extLst>
        </xdr:cNvPr>
        <xdr:cNvSpPr>
          <a:spLocks noChangeArrowheads="1"/>
        </xdr:cNvSpPr>
      </xdr:nvSpPr>
      <xdr:spPr bwMode="auto">
        <a:xfrm>
          <a:off x="13801725" y="619125"/>
          <a:ext cx="457200" cy="85725"/>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xdr:from>
      <xdr:col>234</xdr:col>
      <xdr:colOff>0</xdr:colOff>
      <xdr:row>12</xdr:row>
      <xdr:rowOff>114300</xdr:rowOff>
    </xdr:from>
    <xdr:to>
      <xdr:col>234</xdr:col>
      <xdr:colOff>0</xdr:colOff>
      <xdr:row>13</xdr:row>
      <xdr:rowOff>0</xdr:rowOff>
    </xdr:to>
    <xdr:sp macro="" textlink="">
      <xdr:nvSpPr>
        <xdr:cNvPr id="271" name="Freeform 5141">
          <a:extLst>
            <a:ext uri="{FF2B5EF4-FFF2-40B4-BE49-F238E27FC236}">
              <a16:creationId xmlns:a16="http://schemas.microsoft.com/office/drawing/2014/main" id="{00000000-0008-0000-0000-00000F010000}"/>
            </a:ext>
          </a:extLst>
        </xdr:cNvPr>
        <xdr:cNvSpPr>
          <a:spLocks/>
        </xdr:cNvSpPr>
      </xdr:nvSpPr>
      <xdr:spPr bwMode="auto">
        <a:xfrm>
          <a:off x="24413308" y="1487365"/>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27</xdr:col>
      <xdr:colOff>0</xdr:colOff>
      <xdr:row>15</xdr:row>
      <xdr:rowOff>20574</xdr:rowOff>
    </xdr:from>
    <xdr:to>
      <xdr:col>28</xdr:col>
      <xdr:colOff>88900</xdr:colOff>
      <xdr:row>15</xdr:row>
      <xdr:rowOff>89154</xdr:rowOff>
    </xdr:to>
    <xdr:sp macro="" textlink="">
      <xdr:nvSpPr>
        <xdr:cNvPr id="3016" name="Rectangle_A2">
          <a:extLst>
            <a:ext uri="{FF2B5EF4-FFF2-40B4-BE49-F238E27FC236}">
              <a16:creationId xmlns:a16="http://schemas.microsoft.com/office/drawing/2014/main" id="{00000000-0008-0000-0000-0000C80B0000}"/>
            </a:ext>
          </a:extLst>
        </xdr:cNvPr>
        <xdr:cNvSpPr>
          <a:spLocks noChangeArrowheads="1"/>
        </xdr:cNvSpPr>
      </xdr:nvSpPr>
      <xdr:spPr bwMode="auto">
        <a:xfrm>
          <a:off x="6534150" y="18207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28</xdr:col>
      <xdr:colOff>0</xdr:colOff>
      <xdr:row>15</xdr:row>
      <xdr:rowOff>89154</xdr:rowOff>
    </xdr:from>
    <xdr:to>
      <xdr:col>29</xdr:col>
      <xdr:colOff>88900</xdr:colOff>
      <xdr:row>15</xdr:row>
      <xdr:rowOff>157734</xdr:rowOff>
    </xdr:to>
    <xdr:sp macro="" textlink="">
      <xdr:nvSpPr>
        <xdr:cNvPr id="3017" name="ResultRectangle_A2">
          <a:extLst>
            <a:ext uri="{FF2B5EF4-FFF2-40B4-BE49-F238E27FC236}">
              <a16:creationId xmlns:a16="http://schemas.microsoft.com/office/drawing/2014/main" id="{00000000-0008-0000-0000-0000C90B0000}"/>
            </a:ext>
          </a:extLst>
        </xdr:cNvPr>
        <xdr:cNvSpPr>
          <a:spLocks noChangeArrowheads="1"/>
        </xdr:cNvSpPr>
      </xdr:nvSpPr>
      <xdr:spPr bwMode="auto">
        <a:xfrm>
          <a:off x="6629400" y="188937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28</xdr:col>
      <xdr:colOff>0</xdr:colOff>
      <xdr:row>15</xdr:row>
      <xdr:rowOff>116586</xdr:rowOff>
    </xdr:from>
    <xdr:to>
      <xdr:col>29</xdr:col>
      <xdr:colOff>88900</xdr:colOff>
      <xdr:row>15</xdr:row>
      <xdr:rowOff>157734</xdr:rowOff>
    </xdr:to>
    <xdr:sp macro="" textlink="">
      <xdr:nvSpPr>
        <xdr:cNvPr id="3018" name="ProgressA2">
          <a:extLst>
            <a:ext uri="{FF2B5EF4-FFF2-40B4-BE49-F238E27FC236}">
              <a16:creationId xmlns:a16="http://schemas.microsoft.com/office/drawing/2014/main" id="{00000000-0008-0000-0000-0000CA0B0000}"/>
            </a:ext>
          </a:extLst>
        </xdr:cNvPr>
        <xdr:cNvSpPr>
          <a:spLocks noChangeArrowheads="1"/>
        </xdr:cNvSpPr>
      </xdr:nvSpPr>
      <xdr:spPr bwMode="auto">
        <a:xfrm>
          <a:off x="6629400" y="191681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28</xdr:col>
      <xdr:colOff>88900</xdr:colOff>
      <xdr:row>15</xdr:row>
      <xdr:rowOff>0</xdr:rowOff>
    </xdr:from>
    <xdr:ext cx="1087670" cy="133370"/>
    <xdr:sp macro="" textlink="">
      <xdr:nvSpPr>
        <xdr:cNvPr id="3019" name="RectangleComment_A2">
          <a:extLst>
            <a:ext uri="{FF2B5EF4-FFF2-40B4-BE49-F238E27FC236}">
              <a16:creationId xmlns:a16="http://schemas.microsoft.com/office/drawing/2014/main" id="{00000000-0008-0000-0000-0000CB0B0000}"/>
            </a:ext>
          </a:extLst>
        </xdr:cNvPr>
        <xdr:cNvSpPr txBox="1"/>
      </xdr:nvSpPr>
      <xdr:spPr>
        <a:xfrm>
          <a:off x="6718300" y="18002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48</xdr:col>
      <xdr:colOff>0</xdr:colOff>
      <xdr:row>16</xdr:row>
      <xdr:rowOff>20574</xdr:rowOff>
    </xdr:from>
    <xdr:to>
      <xdr:col>49</xdr:col>
      <xdr:colOff>88900</xdr:colOff>
      <xdr:row>16</xdr:row>
      <xdr:rowOff>89154</xdr:rowOff>
    </xdr:to>
    <xdr:sp macro="" textlink="">
      <xdr:nvSpPr>
        <xdr:cNvPr id="3020" name="Rectangle_A3">
          <a:extLst>
            <a:ext uri="{FF2B5EF4-FFF2-40B4-BE49-F238E27FC236}">
              <a16:creationId xmlns:a16="http://schemas.microsoft.com/office/drawing/2014/main" id="{00000000-0008-0000-0000-0000CC0B0000}"/>
            </a:ext>
          </a:extLst>
        </xdr:cNvPr>
        <xdr:cNvSpPr>
          <a:spLocks noChangeArrowheads="1"/>
        </xdr:cNvSpPr>
      </xdr:nvSpPr>
      <xdr:spPr bwMode="auto">
        <a:xfrm>
          <a:off x="8534400" y="19922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47</xdr:col>
      <xdr:colOff>0</xdr:colOff>
      <xdr:row>16</xdr:row>
      <xdr:rowOff>89154</xdr:rowOff>
    </xdr:from>
    <xdr:to>
      <xdr:col>48</xdr:col>
      <xdr:colOff>88900</xdr:colOff>
      <xdr:row>16</xdr:row>
      <xdr:rowOff>157734</xdr:rowOff>
    </xdr:to>
    <xdr:sp macro="" textlink="">
      <xdr:nvSpPr>
        <xdr:cNvPr id="3021" name="ResultRectangle_A3">
          <a:extLst>
            <a:ext uri="{FF2B5EF4-FFF2-40B4-BE49-F238E27FC236}">
              <a16:creationId xmlns:a16="http://schemas.microsoft.com/office/drawing/2014/main" id="{00000000-0008-0000-0000-0000CD0B0000}"/>
            </a:ext>
          </a:extLst>
        </xdr:cNvPr>
        <xdr:cNvSpPr>
          <a:spLocks noChangeArrowheads="1"/>
        </xdr:cNvSpPr>
      </xdr:nvSpPr>
      <xdr:spPr bwMode="auto">
        <a:xfrm>
          <a:off x="8439150" y="206082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47</xdr:col>
      <xdr:colOff>0</xdr:colOff>
      <xdr:row>16</xdr:row>
      <xdr:rowOff>116586</xdr:rowOff>
    </xdr:from>
    <xdr:to>
      <xdr:col>48</xdr:col>
      <xdr:colOff>88900</xdr:colOff>
      <xdr:row>16</xdr:row>
      <xdr:rowOff>157734</xdr:rowOff>
    </xdr:to>
    <xdr:sp macro="" textlink="">
      <xdr:nvSpPr>
        <xdr:cNvPr id="3022" name="ProgressA3">
          <a:extLst>
            <a:ext uri="{FF2B5EF4-FFF2-40B4-BE49-F238E27FC236}">
              <a16:creationId xmlns:a16="http://schemas.microsoft.com/office/drawing/2014/main" id="{00000000-0008-0000-0000-0000CE0B0000}"/>
            </a:ext>
          </a:extLst>
        </xdr:cNvPr>
        <xdr:cNvSpPr>
          <a:spLocks noChangeArrowheads="1"/>
        </xdr:cNvSpPr>
      </xdr:nvSpPr>
      <xdr:spPr bwMode="auto">
        <a:xfrm>
          <a:off x="8439150" y="208826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49</xdr:col>
      <xdr:colOff>88900</xdr:colOff>
      <xdr:row>16</xdr:row>
      <xdr:rowOff>0</xdr:rowOff>
    </xdr:from>
    <xdr:ext cx="1087670" cy="133370"/>
    <xdr:sp macro="" textlink="">
      <xdr:nvSpPr>
        <xdr:cNvPr id="3023" name="RectangleComment_A3">
          <a:extLst>
            <a:ext uri="{FF2B5EF4-FFF2-40B4-BE49-F238E27FC236}">
              <a16:creationId xmlns:a16="http://schemas.microsoft.com/office/drawing/2014/main" id="{00000000-0008-0000-0000-0000CF0B0000}"/>
            </a:ext>
          </a:extLst>
        </xdr:cNvPr>
        <xdr:cNvSpPr txBox="1"/>
      </xdr:nvSpPr>
      <xdr:spPr>
        <a:xfrm>
          <a:off x="8718550" y="19716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119</xdr:col>
      <xdr:colOff>0</xdr:colOff>
      <xdr:row>23</xdr:row>
      <xdr:rowOff>21717</xdr:rowOff>
    </xdr:from>
    <xdr:to>
      <xdr:col>142</xdr:col>
      <xdr:colOff>88900</xdr:colOff>
      <xdr:row>23</xdr:row>
      <xdr:rowOff>94107</xdr:rowOff>
    </xdr:to>
    <xdr:sp macro="" textlink="">
      <xdr:nvSpPr>
        <xdr:cNvPr id="3045" name="Rectangle_A10">
          <a:extLst>
            <a:ext uri="{FF2B5EF4-FFF2-40B4-BE49-F238E27FC236}">
              <a16:creationId xmlns:a16="http://schemas.microsoft.com/office/drawing/2014/main" id="{00000000-0008-0000-0000-0000E50B0000}"/>
            </a:ext>
          </a:extLst>
        </xdr:cNvPr>
        <xdr:cNvSpPr>
          <a:spLocks noChangeArrowheads="1"/>
        </xdr:cNvSpPr>
      </xdr:nvSpPr>
      <xdr:spPr bwMode="auto">
        <a:xfrm>
          <a:off x="15297150" y="318401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142</xdr:col>
      <xdr:colOff>88900</xdr:colOff>
      <xdr:row>23</xdr:row>
      <xdr:rowOff>0</xdr:rowOff>
    </xdr:from>
    <xdr:ext cx="410369" cy="133370"/>
    <xdr:sp macro="" textlink="">
      <xdr:nvSpPr>
        <xdr:cNvPr id="3046" name="RectangleComment_A10">
          <a:extLst>
            <a:ext uri="{FF2B5EF4-FFF2-40B4-BE49-F238E27FC236}">
              <a16:creationId xmlns:a16="http://schemas.microsoft.com/office/drawing/2014/main" id="{00000000-0008-0000-0000-0000E60B0000}"/>
            </a:ext>
          </a:extLst>
        </xdr:cNvPr>
        <xdr:cNvSpPr txBox="1"/>
      </xdr:nvSpPr>
      <xdr:spPr>
        <a:xfrm>
          <a:off x="17576800" y="31623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詳細設計</a:t>
          </a:r>
        </a:p>
      </xdr:txBody>
    </xdr:sp>
    <xdr:clientData/>
  </xdr:oneCellAnchor>
  <xdr:twoCellAnchor editAs="oneCell">
    <xdr:from>
      <xdr:col>167</xdr:col>
      <xdr:colOff>0</xdr:colOff>
      <xdr:row>26</xdr:row>
      <xdr:rowOff>21717</xdr:rowOff>
    </xdr:from>
    <xdr:to>
      <xdr:col>168</xdr:col>
      <xdr:colOff>88900</xdr:colOff>
      <xdr:row>26</xdr:row>
      <xdr:rowOff>94107</xdr:rowOff>
    </xdr:to>
    <xdr:sp macro="" textlink="">
      <xdr:nvSpPr>
        <xdr:cNvPr id="3051" name="Rectangle_A13">
          <a:extLst>
            <a:ext uri="{FF2B5EF4-FFF2-40B4-BE49-F238E27FC236}">
              <a16:creationId xmlns:a16="http://schemas.microsoft.com/office/drawing/2014/main" id="{00000000-0008-0000-0000-0000EB0B0000}"/>
            </a:ext>
          </a:extLst>
        </xdr:cNvPr>
        <xdr:cNvSpPr>
          <a:spLocks noChangeArrowheads="1"/>
        </xdr:cNvSpPr>
      </xdr:nvSpPr>
      <xdr:spPr bwMode="auto">
        <a:xfrm>
          <a:off x="19869150" y="3726942"/>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168</xdr:col>
      <xdr:colOff>88900</xdr:colOff>
      <xdr:row>26</xdr:row>
      <xdr:rowOff>0</xdr:rowOff>
    </xdr:from>
    <xdr:ext cx="1508618" cy="133370"/>
    <xdr:sp macro="" textlink="">
      <xdr:nvSpPr>
        <xdr:cNvPr id="3052" name="RectangleComment_A13">
          <a:extLst>
            <a:ext uri="{FF2B5EF4-FFF2-40B4-BE49-F238E27FC236}">
              <a16:creationId xmlns:a16="http://schemas.microsoft.com/office/drawing/2014/main" id="{00000000-0008-0000-0000-0000EC0B0000}"/>
            </a:ext>
          </a:extLst>
        </xdr:cNvPr>
        <xdr:cNvSpPr txBox="1"/>
      </xdr:nvSpPr>
      <xdr:spPr>
        <a:xfrm>
          <a:off x="20053300" y="3705225"/>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179</xdr:col>
      <xdr:colOff>0</xdr:colOff>
      <xdr:row>27</xdr:row>
      <xdr:rowOff>21717</xdr:rowOff>
    </xdr:from>
    <xdr:to>
      <xdr:col>180</xdr:col>
      <xdr:colOff>88900</xdr:colOff>
      <xdr:row>27</xdr:row>
      <xdr:rowOff>94107</xdr:rowOff>
    </xdr:to>
    <xdr:sp macro="" textlink="">
      <xdr:nvSpPr>
        <xdr:cNvPr id="3053" name="Rectangle_A14">
          <a:extLst>
            <a:ext uri="{FF2B5EF4-FFF2-40B4-BE49-F238E27FC236}">
              <a16:creationId xmlns:a16="http://schemas.microsoft.com/office/drawing/2014/main" id="{00000000-0008-0000-0000-0000ED0B0000}"/>
            </a:ext>
          </a:extLst>
        </xdr:cNvPr>
        <xdr:cNvSpPr>
          <a:spLocks noChangeArrowheads="1"/>
        </xdr:cNvSpPr>
      </xdr:nvSpPr>
      <xdr:spPr bwMode="auto">
        <a:xfrm>
          <a:off x="21012150" y="3907917"/>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27</xdr:row>
      <xdr:rowOff>0</xdr:rowOff>
    </xdr:from>
    <xdr:ext cx="1508618" cy="133370"/>
    <xdr:sp macro="" textlink="">
      <xdr:nvSpPr>
        <xdr:cNvPr id="3054" name="RectangleComment_A14">
          <a:extLst>
            <a:ext uri="{FF2B5EF4-FFF2-40B4-BE49-F238E27FC236}">
              <a16:creationId xmlns:a16="http://schemas.microsoft.com/office/drawing/2014/main" id="{00000000-0008-0000-0000-0000EE0B0000}"/>
            </a:ext>
          </a:extLst>
        </xdr:cNvPr>
        <xdr:cNvSpPr txBox="1"/>
      </xdr:nvSpPr>
      <xdr:spPr>
        <a:xfrm>
          <a:off x="21196300" y="3886200"/>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181</xdr:col>
      <xdr:colOff>0</xdr:colOff>
      <xdr:row>28</xdr:row>
      <xdr:rowOff>21717</xdr:rowOff>
    </xdr:from>
    <xdr:to>
      <xdr:col>196</xdr:col>
      <xdr:colOff>88900</xdr:colOff>
      <xdr:row>28</xdr:row>
      <xdr:rowOff>94107</xdr:rowOff>
    </xdr:to>
    <xdr:sp macro="" textlink="">
      <xdr:nvSpPr>
        <xdr:cNvPr id="3055" name="Rectangle_A15">
          <a:extLst>
            <a:ext uri="{FF2B5EF4-FFF2-40B4-BE49-F238E27FC236}">
              <a16:creationId xmlns:a16="http://schemas.microsoft.com/office/drawing/2014/main" id="{00000000-0008-0000-0000-0000EF0B0000}"/>
            </a:ext>
          </a:extLst>
        </xdr:cNvPr>
        <xdr:cNvSpPr>
          <a:spLocks noChangeArrowheads="1"/>
        </xdr:cNvSpPr>
      </xdr:nvSpPr>
      <xdr:spPr bwMode="auto">
        <a:xfrm>
          <a:off x="21202650" y="4088892"/>
          <a:ext cx="1517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196</xdr:col>
      <xdr:colOff>88900</xdr:colOff>
      <xdr:row>28</xdr:row>
      <xdr:rowOff>0</xdr:rowOff>
    </xdr:from>
    <xdr:ext cx="660502" cy="133370"/>
    <xdr:sp macro="" textlink="">
      <xdr:nvSpPr>
        <xdr:cNvPr id="3056" name="RectangleComment_A15">
          <a:extLst>
            <a:ext uri="{FF2B5EF4-FFF2-40B4-BE49-F238E27FC236}">
              <a16:creationId xmlns:a16="http://schemas.microsoft.com/office/drawing/2014/main" id="{00000000-0008-0000-0000-0000F00B0000}"/>
            </a:ext>
          </a:extLst>
        </xdr:cNvPr>
        <xdr:cNvSpPr txBox="1"/>
      </xdr:nvSpPr>
      <xdr:spPr>
        <a:xfrm>
          <a:off x="22720300" y="4067175"/>
          <a:ext cx="66050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結合テスト設計</a:t>
          </a:r>
        </a:p>
      </xdr:txBody>
    </xdr:sp>
    <xdr:clientData/>
  </xdr:oneCellAnchor>
  <xdr:twoCellAnchor editAs="oneCell">
    <xdr:from>
      <xdr:col>190</xdr:col>
      <xdr:colOff>0</xdr:colOff>
      <xdr:row>29</xdr:row>
      <xdr:rowOff>21717</xdr:rowOff>
    </xdr:from>
    <xdr:to>
      <xdr:col>199</xdr:col>
      <xdr:colOff>88900</xdr:colOff>
      <xdr:row>29</xdr:row>
      <xdr:rowOff>94107</xdr:rowOff>
    </xdr:to>
    <xdr:sp macro="" textlink="">
      <xdr:nvSpPr>
        <xdr:cNvPr id="3057" name="Rectangle_A16">
          <a:extLst>
            <a:ext uri="{FF2B5EF4-FFF2-40B4-BE49-F238E27FC236}">
              <a16:creationId xmlns:a16="http://schemas.microsoft.com/office/drawing/2014/main" id="{00000000-0008-0000-0000-0000F10B0000}"/>
            </a:ext>
          </a:extLst>
        </xdr:cNvPr>
        <xdr:cNvSpPr>
          <a:spLocks noChangeArrowheads="1"/>
        </xdr:cNvSpPr>
      </xdr:nvSpPr>
      <xdr:spPr bwMode="auto">
        <a:xfrm>
          <a:off x="22059900" y="4269867"/>
          <a:ext cx="946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199</xdr:col>
      <xdr:colOff>88900</xdr:colOff>
      <xdr:row>29</xdr:row>
      <xdr:rowOff>0</xdr:rowOff>
    </xdr:from>
    <xdr:ext cx="455317" cy="133370"/>
    <xdr:sp macro="" textlink="">
      <xdr:nvSpPr>
        <xdr:cNvPr id="3058" name="RectangleComment_A16">
          <a:extLst>
            <a:ext uri="{FF2B5EF4-FFF2-40B4-BE49-F238E27FC236}">
              <a16:creationId xmlns:a16="http://schemas.microsoft.com/office/drawing/2014/main" id="{00000000-0008-0000-0000-0000F20B0000}"/>
            </a:ext>
          </a:extLst>
        </xdr:cNvPr>
        <xdr:cNvSpPr txBox="1"/>
      </xdr:nvSpPr>
      <xdr:spPr>
        <a:xfrm>
          <a:off x="23006050" y="4248150"/>
          <a:ext cx="455317"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a:t>
          </a:r>
        </a:p>
      </xdr:txBody>
    </xdr:sp>
    <xdr:clientData/>
  </xdr:oneCellAnchor>
  <xdr:twoCellAnchor editAs="oneCell">
    <xdr:from>
      <xdr:col>193</xdr:col>
      <xdr:colOff>0</xdr:colOff>
      <xdr:row>30</xdr:row>
      <xdr:rowOff>21717</xdr:rowOff>
    </xdr:from>
    <xdr:to>
      <xdr:col>200</xdr:col>
      <xdr:colOff>88900</xdr:colOff>
      <xdr:row>30</xdr:row>
      <xdr:rowOff>94107</xdr:rowOff>
    </xdr:to>
    <xdr:sp macro="" textlink="">
      <xdr:nvSpPr>
        <xdr:cNvPr id="3059" name="Rectangle_A17">
          <a:extLst>
            <a:ext uri="{FF2B5EF4-FFF2-40B4-BE49-F238E27FC236}">
              <a16:creationId xmlns:a16="http://schemas.microsoft.com/office/drawing/2014/main" id="{00000000-0008-0000-0000-0000F30B0000}"/>
            </a:ext>
          </a:extLst>
        </xdr:cNvPr>
        <xdr:cNvSpPr>
          <a:spLocks noChangeArrowheads="1"/>
        </xdr:cNvSpPr>
      </xdr:nvSpPr>
      <xdr:spPr bwMode="auto">
        <a:xfrm>
          <a:off x="22345650" y="4450842"/>
          <a:ext cx="755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200</xdr:col>
      <xdr:colOff>88900</xdr:colOff>
      <xdr:row>30</xdr:row>
      <xdr:rowOff>0</xdr:rowOff>
    </xdr:from>
    <xdr:ext cx="626133" cy="133370"/>
    <xdr:sp macro="" textlink="">
      <xdr:nvSpPr>
        <xdr:cNvPr id="3060" name="RectangleComment_A17">
          <a:extLst>
            <a:ext uri="{FF2B5EF4-FFF2-40B4-BE49-F238E27FC236}">
              <a16:creationId xmlns:a16="http://schemas.microsoft.com/office/drawing/2014/main" id="{00000000-0008-0000-0000-0000F40B0000}"/>
            </a:ext>
          </a:extLst>
        </xdr:cNvPr>
        <xdr:cNvSpPr txBox="1"/>
      </xdr:nvSpPr>
      <xdr:spPr>
        <a:xfrm>
          <a:off x="23101300" y="4429125"/>
          <a:ext cx="6261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a:t>
          </a:r>
        </a:p>
      </xdr:txBody>
    </xdr:sp>
    <xdr:clientData/>
  </xdr:oneCellAnchor>
  <xdr:twoCellAnchor editAs="oneCell">
    <xdr:from>
      <xdr:col>200</xdr:col>
      <xdr:colOff>0</xdr:colOff>
      <xdr:row>31</xdr:row>
      <xdr:rowOff>21717</xdr:rowOff>
    </xdr:from>
    <xdr:to>
      <xdr:col>202</xdr:col>
      <xdr:colOff>88900</xdr:colOff>
      <xdr:row>31</xdr:row>
      <xdr:rowOff>94107</xdr:rowOff>
    </xdr:to>
    <xdr:sp macro="" textlink="">
      <xdr:nvSpPr>
        <xdr:cNvPr id="3061" name="Rectangle_A18">
          <a:extLst>
            <a:ext uri="{FF2B5EF4-FFF2-40B4-BE49-F238E27FC236}">
              <a16:creationId xmlns:a16="http://schemas.microsoft.com/office/drawing/2014/main" id="{00000000-0008-0000-0000-0000F50B0000}"/>
            </a:ext>
          </a:extLst>
        </xdr:cNvPr>
        <xdr:cNvSpPr>
          <a:spLocks noChangeArrowheads="1"/>
        </xdr:cNvSpPr>
      </xdr:nvSpPr>
      <xdr:spPr bwMode="auto">
        <a:xfrm>
          <a:off x="23012400" y="4631817"/>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202</xdr:col>
      <xdr:colOff>88900</xdr:colOff>
      <xdr:row>31</xdr:row>
      <xdr:rowOff>0</xdr:rowOff>
    </xdr:from>
    <xdr:ext cx="410369" cy="133370"/>
    <xdr:sp macro="" textlink="">
      <xdr:nvSpPr>
        <xdr:cNvPr id="3062" name="RectangleComment_A18">
          <a:extLst>
            <a:ext uri="{FF2B5EF4-FFF2-40B4-BE49-F238E27FC236}">
              <a16:creationId xmlns:a16="http://schemas.microsoft.com/office/drawing/2014/main" id="{00000000-0008-0000-0000-0000F60B0000}"/>
            </a:ext>
          </a:extLst>
        </xdr:cNvPr>
        <xdr:cNvSpPr txBox="1"/>
      </xdr:nvSpPr>
      <xdr:spPr>
        <a:xfrm>
          <a:off x="23291800" y="46101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納品準備</a:t>
          </a:r>
        </a:p>
      </xdr:txBody>
    </xdr:sp>
    <xdr:clientData/>
  </xdr:oneCellAnchor>
  <xdr:twoCellAnchor editAs="oneCell">
    <xdr:from>
      <xdr:col>203</xdr:col>
      <xdr:colOff>0</xdr:colOff>
      <xdr:row>32</xdr:row>
      <xdr:rowOff>21717</xdr:rowOff>
    </xdr:from>
    <xdr:to>
      <xdr:col>205</xdr:col>
      <xdr:colOff>88900</xdr:colOff>
      <xdr:row>32</xdr:row>
      <xdr:rowOff>94107</xdr:rowOff>
    </xdr:to>
    <xdr:sp macro="" textlink="">
      <xdr:nvSpPr>
        <xdr:cNvPr id="3063" name="Rectangle_A19">
          <a:extLst>
            <a:ext uri="{FF2B5EF4-FFF2-40B4-BE49-F238E27FC236}">
              <a16:creationId xmlns:a16="http://schemas.microsoft.com/office/drawing/2014/main" id="{00000000-0008-0000-0000-0000F70B0000}"/>
            </a:ext>
          </a:extLst>
        </xdr:cNvPr>
        <xdr:cNvSpPr>
          <a:spLocks noChangeArrowheads="1"/>
        </xdr:cNvSpPr>
      </xdr:nvSpPr>
      <xdr:spPr bwMode="auto">
        <a:xfrm>
          <a:off x="23298150" y="4812792"/>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205</xdr:col>
      <xdr:colOff>88900</xdr:colOff>
      <xdr:row>32</xdr:row>
      <xdr:rowOff>0</xdr:rowOff>
    </xdr:from>
    <xdr:ext cx="205184" cy="133370"/>
    <xdr:sp macro="" textlink="">
      <xdr:nvSpPr>
        <xdr:cNvPr id="3064" name="RectangleComment_A19">
          <a:extLst>
            <a:ext uri="{FF2B5EF4-FFF2-40B4-BE49-F238E27FC236}">
              <a16:creationId xmlns:a16="http://schemas.microsoft.com/office/drawing/2014/main" id="{00000000-0008-0000-0000-0000F80B0000}"/>
            </a:ext>
          </a:extLst>
        </xdr:cNvPr>
        <xdr:cNvSpPr txBox="1"/>
      </xdr:nvSpPr>
      <xdr:spPr>
        <a:xfrm>
          <a:off x="23577550" y="47910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a:t>
          </a:r>
        </a:p>
      </xdr:txBody>
    </xdr:sp>
    <xdr:clientData/>
  </xdr:oneCellAnchor>
  <xdr:twoCellAnchor editAs="oneCell">
    <xdr:from>
      <xdr:col>22</xdr:col>
      <xdr:colOff>0</xdr:colOff>
      <xdr:row>38</xdr:row>
      <xdr:rowOff>20574</xdr:rowOff>
    </xdr:from>
    <xdr:to>
      <xdr:col>24</xdr:col>
      <xdr:colOff>88900</xdr:colOff>
      <xdr:row>38</xdr:row>
      <xdr:rowOff>89154</xdr:rowOff>
    </xdr:to>
    <xdr:sp macro="" textlink="">
      <xdr:nvSpPr>
        <xdr:cNvPr id="19" name="Rectangle_B1" descr="右上がり対角線 (太)">
          <a:extLst>
            <a:ext uri="{FF2B5EF4-FFF2-40B4-BE49-F238E27FC236}">
              <a16:creationId xmlns:a16="http://schemas.microsoft.com/office/drawing/2014/main" id="{00000000-0008-0000-0000-000013000000}"/>
            </a:ext>
          </a:extLst>
        </xdr:cNvPr>
        <xdr:cNvSpPr>
          <a:spLocks noChangeArrowheads="1"/>
        </xdr:cNvSpPr>
      </xdr:nvSpPr>
      <xdr:spPr bwMode="auto">
        <a:xfrm>
          <a:off x="6057900" y="5745099"/>
          <a:ext cx="279400" cy="68580"/>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22</xdr:col>
      <xdr:colOff>0</xdr:colOff>
      <xdr:row>38</xdr:row>
      <xdr:rowOff>89154</xdr:rowOff>
    </xdr:from>
    <xdr:to>
      <xdr:col>25</xdr:col>
      <xdr:colOff>88900</xdr:colOff>
      <xdr:row>38</xdr:row>
      <xdr:rowOff>157734</xdr:rowOff>
    </xdr:to>
    <xdr:sp macro="" textlink="">
      <xdr:nvSpPr>
        <xdr:cNvPr id="20" name="ResultRectangle_B1">
          <a:extLst>
            <a:ext uri="{FF2B5EF4-FFF2-40B4-BE49-F238E27FC236}">
              <a16:creationId xmlns:a16="http://schemas.microsoft.com/office/drawing/2014/main" id="{00000000-0008-0000-0000-000014000000}"/>
            </a:ext>
          </a:extLst>
        </xdr:cNvPr>
        <xdr:cNvSpPr>
          <a:spLocks noChangeArrowheads="1"/>
        </xdr:cNvSpPr>
      </xdr:nvSpPr>
      <xdr:spPr bwMode="auto">
        <a:xfrm>
          <a:off x="6057900" y="5813679"/>
          <a:ext cx="3746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22</xdr:col>
      <xdr:colOff>0</xdr:colOff>
      <xdr:row>38</xdr:row>
      <xdr:rowOff>116586</xdr:rowOff>
    </xdr:from>
    <xdr:to>
      <xdr:col>25</xdr:col>
      <xdr:colOff>88900</xdr:colOff>
      <xdr:row>38</xdr:row>
      <xdr:rowOff>157734</xdr:rowOff>
    </xdr:to>
    <xdr:sp macro="" textlink="">
      <xdr:nvSpPr>
        <xdr:cNvPr id="21" name="ProgressB1">
          <a:extLst>
            <a:ext uri="{FF2B5EF4-FFF2-40B4-BE49-F238E27FC236}">
              <a16:creationId xmlns:a16="http://schemas.microsoft.com/office/drawing/2014/main" id="{00000000-0008-0000-0000-000015000000}"/>
            </a:ext>
          </a:extLst>
        </xdr:cNvPr>
        <xdr:cNvSpPr>
          <a:spLocks noChangeArrowheads="1"/>
        </xdr:cNvSpPr>
      </xdr:nvSpPr>
      <xdr:spPr bwMode="auto">
        <a:xfrm>
          <a:off x="6057900" y="5841111"/>
          <a:ext cx="3746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24</xdr:col>
      <xdr:colOff>88900</xdr:colOff>
      <xdr:row>38</xdr:row>
      <xdr:rowOff>0</xdr:rowOff>
    </xdr:from>
    <xdr:ext cx="698076" cy="133370"/>
    <xdr:sp macro="" textlink="">
      <xdr:nvSpPr>
        <xdr:cNvPr id="22" name="RectangleComment_B1">
          <a:extLst>
            <a:ext uri="{FF2B5EF4-FFF2-40B4-BE49-F238E27FC236}">
              <a16:creationId xmlns:a16="http://schemas.microsoft.com/office/drawing/2014/main" id="{00000000-0008-0000-0000-000016000000}"/>
            </a:ext>
          </a:extLst>
        </xdr:cNvPr>
        <xdr:cNvSpPr txBox="1"/>
      </xdr:nvSpPr>
      <xdr:spPr>
        <a:xfrm>
          <a:off x="6337300" y="5724525"/>
          <a:ext cx="698076"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食べログの調査</a:t>
          </a:r>
        </a:p>
      </xdr:txBody>
    </xdr:sp>
    <xdr:clientData/>
  </xdr:oneCellAnchor>
  <xdr:twoCellAnchor editAs="oneCell">
    <xdr:from>
      <xdr:col>21</xdr:col>
      <xdr:colOff>0</xdr:colOff>
      <xdr:row>45</xdr:row>
      <xdr:rowOff>20574</xdr:rowOff>
    </xdr:from>
    <xdr:to>
      <xdr:col>21</xdr:col>
      <xdr:colOff>88900</xdr:colOff>
      <xdr:row>45</xdr:row>
      <xdr:rowOff>89154</xdr:rowOff>
    </xdr:to>
    <xdr:sp macro="" textlink="">
      <xdr:nvSpPr>
        <xdr:cNvPr id="2" name="Rectangle_B8" descr="右上がり対角線 (太)">
          <a:extLst>
            <a:ext uri="{FF2B5EF4-FFF2-40B4-BE49-F238E27FC236}">
              <a16:creationId xmlns:a16="http://schemas.microsoft.com/office/drawing/2014/main" id="{00000000-0008-0000-0000-000002000000}"/>
            </a:ext>
          </a:extLst>
        </xdr:cNvPr>
        <xdr:cNvSpPr>
          <a:spLocks noChangeArrowheads="1"/>
        </xdr:cNvSpPr>
      </xdr:nvSpPr>
      <xdr:spPr bwMode="auto">
        <a:xfrm>
          <a:off x="5962650" y="6945249"/>
          <a:ext cx="88900" cy="68580"/>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45</xdr:row>
      <xdr:rowOff>89154</xdr:rowOff>
    </xdr:from>
    <xdr:to>
      <xdr:col>21</xdr:col>
      <xdr:colOff>88900</xdr:colOff>
      <xdr:row>45</xdr:row>
      <xdr:rowOff>157734</xdr:rowOff>
    </xdr:to>
    <xdr:sp macro="" textlink="">
      <xdr:nvSpPr>
        <xdr:cNvPr id="3" name="ResultRectangle_B8">
          <a:extLst>
            <a:ext uri="{FF2B5EF4-FFF2-40B4-BE49-F238E27FC236}">
              <a16:creationId xmlns:a16="http://schemas.microsoft.com/office/drawing/2014/main" id="{00000000-0008-0000-0000-000003000000}"/>
            </a:ext>
          </a:extLst>
        </xdr:cNvPr>
        <xdr:cNvSpPr>
          <a:spLocks noChangeArrowheads="1"/>
        </xdr:cNvSpPr>
      </xdr:nvSpPr>
      <xdr:spPr bwMode="auto">
        <a:xfrm>
          <a:off x="5962650" y="7013829"/>
          <a:ext cx="889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45</xdr:row>
      <xdr:rowOff>116587</xdr:rowOff>
    </xdr:from>
    <xdr:to>
      <xdr:col>21</xdr:col>
      <xdr:colOff>88900</xdr:colOff>
      <xdr:row>45</xdr:row>
      <xdr:rowOff>157735</xdr:rowOff>
    </xdr:to>
    <xdr:sp macro="" textlink="">
      <xdr:nvSpPr>
        <xdr:cNvPr id="4" name="ProgressB8">
          <a:extLst>
            <a:ext uri="{FF2B5EF4-FFF2-40B4-BE49-F238E27FC236}">
              <a16:creationId xmlns:a16="http://schemas.microsoft.com/office/drawing/2014/main" id="{00000000-0008-0000-0000-000004000000}"/>
            </a:ext>
          </a:extLst>
        </xdr:cNvPr>
        <xdr:cNvSpPr>
          <a:spLocks noChangeArrowheads="1"/>
        </xdr:cNvSpPr>
      </xdr:nvSpPr>
      <xdr:spPr bwMode="auto">
        <a:xfrm>
          <a:off x="5962650" y="7041262"/>
          <a:ext cx="8890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21</xdr:col>
      <xdr:colOff>88900</xdr:colOff>
      <xdr:row>45</xdr:row>
      <xdr:rowOff>0</xdr:rowOff>
    </xdr:from>
    <xdr:ext cx="1111010" cy="133370"/>
    <xdr:sp macro="" textlink="">
      <xdr:nvSpPr>
        <xdr:cNvPr id="5" name="RectangleComment_B8">
          <a:extLst>
            <a:ext uri="{FF2B5EF4-FFF2-40B4-BE49-F238E27FC236}">
              <a16:creationId xmlns:a16="http://schemas.microsoft.com/office/drawing/2014/main" id="{00000000-0008-0000-0000-000005000000}"/>
            </a:ext>
          </a:extLst>
        </xdr:cNvPr>
        <xdr:cNvSpPr txBox="1"/>
      </xdr:nvSpPr>
      <xdr:spPr>
        <a:xfrm>
          <a:off x="6051550" y="6924675"/>
          <a:ext cx="111101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商品名コンセプトを書いた</a:t>
          </a:r>
        </a:p>
      </xdr:txBody>
    </xdr:sp>
    <xdr:clientData/>
  </xdr:oneCellAnchor>
  <xdr:twoCellAnchor editAs="oneCell">
    <xdr:from>
      <xdr:col>20</xdr:col>
      <xdr:colOff>95249</xdr:colOff>
      <xdr:row>39</xdr:row>
      <xdr:rowOff>20574</xdr:rowOff>
    </xdr:from>
    <xdr:to>
      <xdr:col>66</xdr:col>
      <xdr:colOff>88899</xdr:colOff>
      <xdr:row>39</xdr:row>
      <xdr:rowOff>89154</xdr:rowOff>
    </xdr:to>
    <xdr:sp macro="" textlink="">
      <xdr:nvSpPr>
        <xdr:cNvPr id="26" name="Rectangle_B2" descr="右上がり対角線 (太)">
          <a:extLst>
            <a:ext uri="{FF2B5EF4-FFF2-40B4-BE49-F238E27FC236}">
              <a16:creationId xmlns:a16="http://schemas.microsoft.com/office/drawing/2014/main" id="{00000000-0008-0000-0000-00001A000000}"/>
            </a:ext>
          </a:extLst>
        </xdr:cNvPr>
        <xdr:cNvSpPr>
          <a:spLocks noChangeArrowheads="1"/>
        </xdr:cNvSpPr>
      </xdr:nvSpPr>
      <xdr:spPr bwMode="auto">
        <a:xfrm>
          <a:off x="5962649" y="5916549"/>
          <a:ext cx="4375150" cy="68580"/>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39</xdr:row>
      <xdr:rowOff>89154</xdr:rowOff>
    </xdr:from>
    <xdr:to>
      <xdr:col>66</xdr:col>
      <xdr:colOff>88900</xdr:colOff>
      <xdr:row>39</xdr:row>
      <xdr:rowOff>157734</xdr:rowOff>
    </xdr:to>
    <xdr:sp macro="" textlink="">
      <xdr:nvSpPr>
        <xdr:cNvPr id="27" name="ResultRectangle_B2">
          <a:extLst>
            <a:ext uri="{FF2B5EF4-FFF2-40B4-BE49-F238E27FC236}">
              <a16:creationId xmlns:a16="http://schemas.microsoft.com/office/drawing/2014/main" id="{00000000-0008-0000-0000-00001B000000}"/>
            </a:ext>
          </a:extLst>
        </xdr:cNvPr>
        <xdr:cNvSpPr>
          <a:spLocks noChangeArrowheads="1"/>
        </xdr:cNvSpPr>
      </xdr:nvSpPr>
      <xdr:spPr bwMode="auto">
        <a:xfrm>
          <a:off x="5962650" y="598512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39</xdr:row>
      <xdr:rowOff>116586</xdr:rowOff>
    </xdr:from>
    <xdr:to>
      <xdr:col>66</xdr:col>
      <xdr:colOff>88900</xdr:colOff>
      <xdr:row>39</xdr:row>
      <xdr:rowOff>157734</xdr:rowOff>
    </xdr:to>
    <xdr:sp macro="" textlink="">
      <xdr:nvSpPr>
        <xdr:cNvPr id="28" name="ProgressB2">
          <a:extLst>
            <a:ext uri="{FF2B5EF4-FFF2-40B4-BE49-F238E27FC236}">
              <a16:creationId xmlns:a16="http://schemas.microsoft.com/office/drawing/2014/main" id="{00000000-0008-0000-0000-00001C000000}"/>
            </a:ext>
          </a:extLst>
        </xdr:cNvPr>
        <xdr:cNvSpPr>
          <a:spLocks noChangeArrowheads="1"/>
        </xdr:cNvSpPr>
      </xdr:nvSpPr>
      <xdr:spPr bwMode="auto">
        <a:xfrm>
          <a:off x="5962650" y="601256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39</xdr:row>
      <xdr:rowOff>0</xdr:rowOff>
    </xdr:from>
    <xdr:ext cx="792333" cy="133370"/>
    <xdr:sp macro="" textlink="">
      <xdr:nvSpPr>
        <xdr:cNvPr id="29" name="RectangleComment_B2">
          <a:extLst>
            <a:ext uri="{FF2B5EF4-FFF2-40B4-BE49-F238E27FC236}">
              <a16:creationId xmlns:a16="http://schemas.microsoft.com/office/drawing/2014/main" id="{00000000-0008-0000-0000-00001D000000}"/>
            </a:ext>
          </a:extLst>
        </xdr:cNvPr>
        <xdr:cNvSpPr txBox="1"/>
      </xdr:nvSpPr>
      <xdr:spPr>
        <a:xfrm>
          <a:off x="10337798" y="58959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40</xdr:row>
      <xdr:rowOff>20574</xdr:rowOff>
    </xdr:from>
    <xdr:to>
      <xdr:col>66</xdr:col>
      <xdr:colOff>88899</xdr:colOff>
      <xdr:row>40</xdr:row>
      <xdr:rowOff>89154</xdr:rowOff>
    </xdr:to>
    <xdr:sp macro="" textlink="">
      <xdr:nvSpPr>
        <xdr:cNvPr id="30" name="Rectangle_B3" descr="右上がり対角線 (太)">
          <a:extLst>
            <a:ext uri="{FF2B5EF4-FFF2-40B4-BE49-F238E27FC236}">
              <a16:creationId xmlns:a16="http://schemas.microsoft.com/office/drawing/2014/main" id="{00000000-0008-0000-0000-00001E000000}"/>
            </a:ext>
          </a:extLst>
        </xdr:cNvPr>
        <xdr:cNvSpPr>
          <a:spLocks noChangeArrowheads="1"/>
        </xdr:cNvSpPr>
      </xdr:nvSpPr>
      <xdr:spPr bwMode="auto">
        <a:xfrm>
          <a:off x="5962649" y="6087999"/>
          <a:ext cx="4375150" cy="68580"/>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40</xdr:row>
      <xdr:rowOff>89154</xdr:rowOff>
    </xdr:from>
    <xdr:to>
      <xdr:col>66</xdr:col>
      <xdr:colOff>88900</xdr:colOff>
      <xdr:row>40</xdr:row>
      <xdr:rowOff>157734</xdr:rowOff>
    </xdr:to>
    <xdr:sp macro="" textlink="">
      <xdr:nvSpPr>
        <xdr:cNvPr id="31" name="ResultRectangle_B3">
          <a:extLst>
            <a:ext uri="{FF2B5EF4-FFF2-40B4-BE49-F238E27FC236}">
              <a16:creationId xmlns:a16="http://schemas.microsoft.com/office/drawing/2014/main" id="{00000000-0008-0000-0000-00001F000000}"/>
            </a:ext>
          </a:extLst>
        </xdr:cNvPr>
        <xdr:cNvSpPr>
          <a:spLocks noChangeArrowheads="1"/>
        </xdr:cNvSpPr>
      </xdr:nvSpPr>
      <xdr:spPr bwMode="auto">
        <a:xfrm>
          <a:off x="5962650" y="615657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40</xdr:row>
      <xdr:rowOff>116586</xdr:rowOff>
    </xdr:from>
    <xdr:to>
      <xdr:col>66</xdr:col>
      <xdr:colOff>88900</xdr:colOff>
      <xdr:row>40</xdr:row>
      <xdr:rowOff>157734</xdr:rowOff>
    </xdr:to>
    <xdr:sp macro="" textlink="">
      <xdr:nvSpPr>
        <xdr:cNvPr id="32" name="ProgressB3">
          <a:extLst>
            <a:ext uri="{FF2B5EF4-FFF2-40B4-BE49-F238E27FC236}">
              <a16:creationId xmlns:a16="http://schemas.microsoft.com/office/drawing/2014/main" id="{00000000-0008-0000-0000-000020000000}"/>
            </a:ext>
          </a:extLst>
        </xdr:cNvPr>
        <xdr:cNvSpPr>
          <a:spLocks noChangeArrowheads="1"/>
        </xdr:cNvSpPr>
      </xdr:nvSpPr>
      <xdr:spPr bwMode="auto">
        <a:xfrm>
          <a:off x="5962650" y="618401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40</xdr:row>
      <xdr:rowOff>0</xdr:rowOff>
    </xdr:from>
    <xdr:ext cx="792333" cy="133370"/>
    <xdr:sp macro="" textlink="">
      <xdr:nvSpPr>
        <xdr:cNvPr id="33" name="RectangleComment_B3">
          <a:extLst>
            <a:ext uri="{FF2B5EF4-FFF2-40B4-BE49-F238E27FC236}">
              <a16:creationId xmlns:a16="http://schemas.microsoft.com/office/drawing/2014/main" id="{00000000-0008-0000-0000-000021000000}"/>
            </a:ext>
          </a:extLst>
        </xdr:cNvPr>
        <xdr:cNvSpPr txBox="1"/>
      </xdr:nvSpPr>
      <xdr:spPr>
        <a:xfrm>
          <a:off x="10337798" y="60674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41</xdr:row>
      <xdr:rowOff>20574</xdr:rowOff>
    </xdr:from>
    <xdr:to>
      <xdr:col>66</xdr:col>
      <xdr:colOff>88899</xdr:colOff>
      <xdr:row>41</xdr:row>
      <xdr:rowOff>89154</xdr:rowOff>
    </xdr:to>
    <xdr:sp macro="" textlink="">
      <xdr:nvSpPr>
        <xdr:cNvPr id="34" name="Rectangle_B4" descr="右上がり対角線 (太)">
          <a:extLst>
            <a:ext uri="{FF2B5EF4-FFF2-40B4-BE49-F238E27FC236}">
              <a16:creationId xmlns:a16="http://schemas.microsoft.com/office/drawing/2014/main" id="{00000000-0008-0000-0000-000022000000}"/>
            </a:ext>
          </a:extLst>
        </xdr:cNvPr>
        <xdr:cNvSpPr>
          <a:spLocks noChangeArrowheads="1"/>
        </xdr:cNvSpPr>
      </xdr:nvSpPr>
      <xdr:spPr bwMode="auto">
        <a:xfrm>
          <a:off x="5962649" y="6259449"/>
          <a:ext cx="4375150" cy="6858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41</xdr:row>
      <xdr:rowOff>89154</xdr:rowOff>
    </xdr:from>
    <xdr:to>
      <xdr:col>66</xdr:col>
      <xdr:colOff>88900</xdr:colOff>
      <xdr:row>41</xdr:row>
      <xdr:rowOff>157734</xdr:rowOff>
    </xdr:to>
    <xdr:sp macro="" textlink="">
      <xdr:nvSpPr>
        <xdr:cNvPr id="35" name="ResultRectangle_B4">
          <a:extLst>
            <a:ext uri="{FF2B5EF4-FFF2-40B4-BE49-F238E27FC236}">
              <a16:creationId xmlns:a16="http://schemas.microsoft.com/office/drawing/2014/main" id="{00000000-0008-0000-0000-000023000000}"/>
            </a:ext>
          </a:extLst>
        </xdr:cNvPr>
        <xdr:cNvSpPr>
          <a:spLocks noChangeArrowheads="1"/>
        </xdr:cNvSpPr>
      </xdr:nvSpPr>
      <xdr:spPr bwMode="auto">
        <a:xfrm>
          <a:off x="5962650" y="632802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41</xdr:row>
      <xdr:rowOff>116586</xdr:rowOff>
    </xdr:from>
    <xdr:to>
      <xdr:col>66</xdr:col>
      <xdr:colOff>88900</xdr:colOff>
      <xdr:row>41</xdr:row>
      <xdr:rowOff>157734</xdr:rowOff>
    </xdr:to>
    <xdr:sp macro="" textlink="">
      <xdr:nvSpPr>
        <xdr:cNvPr id="36" name="ProgressB4">
          <a:extLst>
            <a:ext uri="{FF2B5EF4-FFF2-40B4-BE49-F238E27FC236}">
              <a16:creationId xmlns:a16="http://schemas.microsoft.com/office/drawing/2014/main" id="{00000000-0008-0000-0000-000024000000}"/>
            </a:ext>
          </a:extLst>
        </xdr:cNvPr>
        <xdr:cNvSpPr>
          <a:spLocks noChangeArrowheads="1"/>
        </xdr:cNvSpPr>
      </xdr:nvSpPr>
      <xdr:spPr bwMode="auto">
        <a:xfrm>
          <a:off x="5962650" y="635546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41</xdr:row>
      <xdr:rowOff>0</xdr:rowOff>
    </xdr:from>
    <xdr:ext cx="792333" cy="133370"/>
    <xdr:sp macro="" textlink="">
      <xdr:nvSpPr>
        <xdr:cNvPr id="37" name="RectangleComment_B4">
          <a:extLst>
            <a:ext uri="{FF2B5EF4-FFF2-40B4-BE49-F238E27FC236}">
              <a16:creationId xmlns:a16="http://schemas.microsoft.com/office/drawing/2014/main" id="{00000000-0008-0000-0000-000025000000}"/>
            </a:ext>
          </a:extLst>
        </xdr:cNvPr>
        <xdr:cNvSpPr txBox="1"/>
      </xdr:nvSpPr>
      <xdr:spPr>
        <a:xfrm>
          <a:off x="10337798" y="62388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42</xdr:row>
      <xdr:rowOff>20574</xdr:rowOff>
    </xdr:from>
    <xdr:to>
      <xdr:col>66</xdr:col>
      <xdr:colOff>88899</xdr:colOff>
      <xdr:row>42</xdr:row>
      <xdr:rowOff>89154</xdr:rowOff>
    </xdr:to>
    <xdr:sp macro="" textlink="">
      <xdr:nvSpPr>
        <xdr:cNvPr id="38" name="Rectangle_B5" descr="右上がり対角線 (太)">
          <a:extLst>
            <a:ext uri="{FF2B5EF4-FFF2-40B4-BE49-F238E27FC236}">
              <a16:creationId xmlns:a16="http://schemas.microsoft.com/office/drawing/2014/main" id="{00000000-0008-0000-0000-000026000000}"/>
            </a:ext>
          </a:extLst>
        </xdr:cNvPr>
        <xdr:cNvSpPr>
          <a:spLocks noChangeArrowheads="1"/>
        </xdr:cNvSpPr>
      </xdr:nvSpPr>
      <xdr:spPr bwMode="auto">
        <a:xfrm>
          <a:off x="5962649" y="6430899"/>
          <a:ext cx="4375150" cy="6858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42</xdr:row>
      <xdr:rowOff>89154</xdr:rowOff>
    </xdr:from>
    <xdr:to>
      <xdr:col>66</xdr:col>
      <xdr:colOff>88900</xdr:colOff>
      <xdr:row>42</xdr:row>
      <xdr:rowOff>157734</xdr:rowOff>
    </xdr:to>
    <xdr:sp macro="" textlink="">
      <xdr:nvSpPr>
        <xdr:cNvPr id="39" name="ResultRectangle_B5">
          <a:extLst>
            <a:ext uri="{FF2B5EF4-FFF2-40B4-BE49-F238E27FC236}">
              <a16:creationId xmlns:a16="http://schemas.microsoft.com/office/drawing/2014/main" id="{00000000-0008-0000-0000-000027000000}"/>
            </a:ext>
          </a:extLst>
        </xdr:cNvPr>
        <xdr:cNvSpPr>
          <a:spLocks noChangeArrowheads="1"/>
        </xdr:cNvSpPr>
      </xdr:nvSpPr>
      <xdr:spPr bwMode="auto">
        <a:xfrm>
          <a:off x="5962650" y="649947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42</xdr:row>
      <xdr:rowOff>116586</xdr:rowOff>
    </xdr:from>
    <xdr:to>
      <xdr:col>66</xdr:col>
      <xdr:colOff>88900</xdr:colOff>
      <xdr:row>42</xdr:row>
      <xdr:rowOff>157734</xdr:rowOff>
    </xdr:to>
    <xdr:sp macro="" textlink="">
      <xdr:nvSpPr>
        <xdr:cNvPr id="40" name="ProgressB5">
          <a:extLst>
            <a:ext uri="{FF2B5EF4-FFF2-40B4-BE49-F238E27FC236}">
              <a16:creationId xmlns:a16="http://schemas.microsoft.com/office/drawing/2014/main" id="{00000000-0008-0000-0000-000028000000}"/>
            </a:ext>
          </a:extLst>
        </xdr:cNvPr>
        <xdr:cNvSpPr>
          <a:spLocks noChangeArrowheads="1"/>
        </xdr:cNvSpPr>
      </xdr:nvSpPr>
      <xdr:spPr bwMode="auto">
        <a:xfrm>
          <a:off x="5962650" y="652691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42</xdr:row>
      <xdr:rowOff>0</xdr:rowOff>
    </xdr:from>
    <xdr:ext cx="792333" cy="133370"/>
    <xdr:sp macro="" textlink="">
      <xdr:nvSpPr>
        <xdr:cNvPr id="41" name="RectangleComment_B5">
          <a:extLst>
            <a:ext uri="{FF2B5EF4-FFF2-40B4-BE49-F238E27FC236}">
              <a16:creationId xmlns:a16="http://schemas.microsoft.com/office/drawing/2014/main" id="{00000000-0008-0000-0000-000029000000}"/>
            </a:ext>
          </a:extLst>
        </xdr:cNvPr>
        <xdr:cNvSpPr txBox="1"/>
      </xdr:nvSpPr>
      <xdr:spPr>
        <a:xfrm>
          <a:off x="10337798" y="64103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43</xdr:row>
      <xdr:rowOff>20574</xdr:rowOff>
    </xdr:from>
    <xdr:to>
      <xdr:col>66</xdr:col>
      <xdr:colOff>88899</xdr:colOff>
      <xdr:row>43</xdr:row>
      <xdr:rowOff>89154</xdr:rowOff>
    </xdr:to>
    <xdr:sp macro="" textlink="">
      <xdr:nvSpPr>
        <xdr:cNvPr id="42" name="Rectangle_B6" descr="右上がり対角線 (太)">
          <a:extLst>
            <a:ext uri="{FF2B5EF4-FFF2-40B4-BE49-F238E27FC236}">
              <a16:creationId xmlns:a16="http://schemas.microsoft.com/office/drawing/2014/main" id="{00000000-0008-0000-0000-00002A000000}"/>
            </a:ext>
          </a:extLst>
        </xdr:cNvPr>
        <xdr:cNvSpPr>
          <a:spLocks noChangeArrowheads="1"/>
        </xdr:cNvSpPr>
      </xdr:nvSpPr>
      <xdr:spPr bwMode="auto">
        <a:xfrm>
          <a:off x="5962649" y="6602349"/>
          <a:ext cx="4375150" cy="68580"/>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43</xdr:row>
      <xdr:rowOff>89154</xdr:rowOff>
    </xdr:from>
    <xdr:to>
      <xdr:col>66</xdr:col>
      <xdr:colOff>88900</xdr:colOff>
      <xdr:row>43</xdr:row>
      <xdr:rowOff>157734</xdr:rowOff>
    </xdr:to>
    <xdr:sp macro="" textlink="">
      <xdr:nvSpPr>
        <xdr:cNvPr id="43" name="ResultRectangle_B6">
          <a:extLst>
            <a:ext uri="{FF2B5EF4-FFF2-40B4-BE49-F238E27FC236}">
              <a16:creationId xmlns:a16="http://schemas.microsoft.com/office/drawing/2014/main" id="{00000000-0008-0000-0000-00002B000000}"/>
            </a:ext>
          </a:extLst>
        </xdr:cNvPr>
        <xdr:cNvSpPr>
          <a:spLocks noChangeArrowheads="1"/>
        </xdr:cNvSpPr>
      </xdr:nvSpPr>
      <xdr:spPr bwMode="auto">
        <a:xfrm>
          <a:off x="5962650" y="667092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43</xdr:row>
      <xdr:rowOff>116587</xdr:rowOff>
    </xdr:from>
    <xdr:to>
      <xdr:col>66</xdr:col>
      <xdr:colOff>88900</xdr:colOff>
      <xdr:row>43</xdr:row>
      <xdr:rowOff>157735</xdr:rowOff>
    </xdr:to>
    <xdr:sp macro="" textlink="">
      <xdr:nvSpPr>
        <xdr:cNvPr id="44" name="ProgressB6">
          <a:extLst>
            <a:ext uri="{FF2B5EF4-FFF2-40B4-BE49-F238E27FC236}">
              <a16:creationId xmlns:a16="http://schemas.microsoft.com/office/drawing/2014/main" id="{00000000-0008-0000-0000-00002C000000}"/>
            </a:ext>
          </a:extLst>
        </xdr:cNvPr>
        <xdr:cNvSpPr>
          <a:spLocks noChangeArrowheads="1"/>
        </xdr:cNvSpPr>
      </xdr:nvSpPr>
      <xdr:spPr bwMode="auto">
        <a:xfrm>
          <a:off x="5962650" y="6698362"/>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43</xdr:row>
      <xdr:rowOff>0</xdr:rowOff>
    </xdr:from>
    <xdr:ext cx="792333" cy="133370"/>
    <xdr:sp macro="" textlink="">
      <xdr:nvSpPr>
        <xdr:cNvPr id="45" name="RectangleComment_B6">
          <a:extLst>
            <a:ext uri="{FF2B5EF4-FFF2-40B4-BE49-F238E27FC236}">
              <a16:creationId xmlns:a16="http://schemas.microsoft.com/office/drawing/2014/main" id="{00000000-0008-0000-0000-00002D000000}"/>
            </a:ext>
          </a:extLst>
        </xdr:cNvPr>
        <xdr:cNvSpPr txBox="1"/>
      </xdr:nvSpPr>
      <xdr:spPr>
        <a:xfrm>
          <a:off x="10337798" y="65817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44</xdr:row>
      <xdr:rowOff>20574</xdr:rowOff>
    </xdr:from>
    <xdr:to>
      <xdr:col>66</xdr:col>
      <xdr:colOff>88899</xdr:colOff>
      <xdr:row>44</xdr:row>
      <xdr:rowOff>89154</xdr:rowOff>
    </xdr:to>
    <xdr:sp macro="" textlink="">
      <xdr:nvSpPr>
        <xdr:cNvPr id="46" name="Rectangle_B7" descr="右上がり対角線 (太)">
          <a:extLst>
            <a:ext uri="{FF2B5EF4-FFF2-40B4-BE49-F238E27FC236}">
              <a16:creationId xmlns:a16="http://schemas.microsoft.com/office/drawing/2014/main" id="{00000000-0008-0000-0000-00002E000000}"/>
            </a:ext>
          </a:extLst>
        </xdr:cNvPr>
        <xdr:cNvSpPr>
          <a:spLocks noChangeArrowheads="1"/>
        </xdr:cNvSpPr>
      </xdr:nvSpPr>
      <xdr:spPr bwMode="auto">
        <a:xfrm>
          <a:off x="5962649" y="6773799"/>
          <a:ext cx="4375150" cy="68580"/>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44</xdr:row>
      <xdr:rowOff>89154</xdr:rowOff>
    </xdr:from>
    <xdr:to>
      <xdr:col>66</xdr:col>
      <xdr:colOff>88900</xdr:colOff>
      <xdr:row>44</xdr:row>
      <xdr:rowOff>157734</xdr:rowOff>
    </xdr:to>
    <xdr:sp macro="" textlink="">
      <xdr:nvSpPr>
        <xdr:cNvPr id="47" name="ResultRectangle_B7">
          <a:extLst>
            <a:ext uri="{FF2B5EF4-FFF2-40B4-BE49-F238E27FC236}">
              <a16:creationId xmlns:a16="http://schemas.microsoft.com/office/drawing/2014/main" id="{00000000-0008-0000-0000-00002F000000}"/>
            </a:ext>
          </a:extLst>
        </xdr:cNvPr>
        <xdr:cNvSpPr>
          <a:spLocks noChangeArrowheads="1"/>
        </xdr:cNvSpPr>
      </xdr:nvSpPr>
      <xdr:spPr bwMode="auto">
        <a:xfrm>
          <a:off x="5962650" y="684237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44</xdr:row>
      <xdr:rowOff>116587</xdr:rowOff>
    </xdr:from>
    <xdr:to>
      <xdr:col>66</xdr:col>
      <xdr:colOff>88900</xdr:colOff>
      <xdr:row>44</xdr:row>
      <xdr:rowOff>157735</xdr:rowOff>
    </xdr:to>
    <xdr:sp macro="" textlink="">
      <xdr:nvSpPr>
        <xdr:cNvPr id="48" name="ProgressB7">
          <a:extLst>
            <a:ext uri="{FF2B5EF4-FFF2-40B4-BE49-F238E27FC236}">
              <a16:creationId xmlns:a16="http://schemas.microsoft.com/office/drawing/2014/main" id="{00000000-0008-0000-0000-000030000000}"/>
            </a:ext>
          </a:extLst>
        </xdr:cNvPr>
        <xdr:cNvSpPr>
          <a:spLocks noChangeArrowheads="1"/>
        </xdr:cNvSpPr>
      </xdr:nvSpPr>
      <xdr:spPr bwMode="auto">
        <a:xfrm>
          <a:off x="5962650" y="6869812"/>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44</xdr:row>
      <xdr:rowOff>0</xdr:rowOff>
    </xdr:from>
    <xdr:ext cx="792333" cy="133370"/>
    <xdr:sp macro="" textlink="">
      <xdr:nvSpPr>
        <xdr:cNvPr id="49" name="RectangleComment_B7">
          <a:extLst>
            <a:ext uri="{FF2B5EF4-FFF2-40B4-BE49-F238E27FC236}">
              <a16:creationId xmlns:a16="http://schemas.microsoft.com/office/drawing/2014/main" id="{00000000-0008-0000-0000-000031000000}"/>
            </a:ext>
          </a:extLst>
        </xdr:cNvPr>
        <xdr:cNvSpPr txBox="1"/>
      </xdr:nvSpPr>
      <xdr:spPr>
        <a:xfrm>
          <a:off x="10337798" y="67532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30</xdr:col>
      <xdr:colOff>0</xdr:colOff>
      <xdr:row>46</xdr:row>
      <xdr:rowOff>20574</xdr:rowOff>
    </xdr:from>
    <xdr:to>
      <xdr:col>34</xdr:col>
      <xdr:colOff>88900</xdr:colOff>
      <xdr:row>46</xdr:row>
      <xdr:rowOff>89154</xdr:rowOff>
    </xdr:to>
    <xdr:sp macro="" textlink="">
      <xdr:nvSpPr>
        <xdr:cNvPr id="6544" name="Rectangle_B9" descr="右上がり対角線 (太)">
          <a:extLst>
            <a:ext uri="{FF2B5EF4-FFF2-40B4-BE49-F238E27FC236}">
              <a16:creationId xmlns:a16="http://schemas.microsoft.com/office/drawing/2014/main" id="{00000000-0008-0000-0000-000090190000}"/>
            </a:ext>
          </a:extLst>
        </xdr:cNvPr>
        <xdr:cNvSpPr>
          <a:spLocks noChangeArrowheads="1"/>
        </xdr:cNvSpPr>
      </xdr:nvSpPr>
      <xdr:spPr bwMode="auto">
        <a:xfrm>
          <a:off x="6819900" y="7116699"/>
          <a:ext cx="469900" cy="68580"/>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77</xdr:col>
      <xdr:colOff>0</xdr:colOff>
      <xdr:row>46</xdr:row>
      <xdr:rowOff>89154</xdr:rowOff>
    </xdr:from>
    <xdr:to>
      <xdr:col>110</xdr:col>
      <xdr:colOff>88900</xdr:colOff>
      <xdr:row>46</xdr:row>
      <xdr:rowOff>157734</xdr:rowOff>
    </xdr:to>
    <xdr:sp macro="" textlink="">
      <xdr:nvSpPr>
        <xdr:cNvPr id="6545" name="ResultRectangle_B9">
          <a:extLst>
            <a:ext uri="{FF2B5EF4-FFF2-40B4-BE49-F238E27FC236}">
              <a16:creationId xmlns:a16="http://schemas.microsoft.com/office/drawing/2014/main" id="{00000000-0008-0000-0000-000091190000}"/>
            </a:ext>
          </a:extLst>
        </xdr:cNvPr>
        <xdr:cNvSpPr>
          <a:spLocks noChangeArrowheads="1"/>
        </xdr:cNvSpPr>
      </xdr:nvSpPr>
      <xdr:spPr bwMode="auto">
        <a:xfrm>
          <a:off x="11296650" y="7185279"/>
          <a:ext cx="3232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77</xdr:col>
      <xdr:colOff>0</xdr:colOff>
      <xdr:row>46</xdr:row>
      <xdr:rowOff>116587</xdr:rowOff>
    </xdr:from>
    <xdr:to>
      <xdr:col>110</xdr:col>
      <xdr:colOff>88900</xdr:colOff>
      <xdr:row>46</xdr:row>
      <xdr:rowOff>157735</xdr:rowOff>
    </xdr:to>
    <xdr:sp macro="" textlink="">
      <xdr:nvSpPr>
        <xdr:cNvPr id="6546" name="ProgressB9">
          <a:extLst>
            <a:ext uri="{FF2B5EF4-FFF2-40B4-BE49-F238E27FC236}">
              <a16:creationId xmlns:a16="http://schemas.microsoft.com/office/drawing/2014/main" id="{00000000-0008-0000-0000-000092190000}"/>
            </a:ext>
          </a:extLst>
        </xdr:cNvPr>
        <xdr:cNvSpPr>
          <a:spLocks noChangeArrowheads="1"/>
        </xdr:cNvSpPr>
      </xdr:nvSpPr>
      <xdr:spPr bwMode="auto">
        <a:xfrm>
          <a:off x="11296650" y="7212712"/>
          <a:ext cx="3232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34</xdr:col>
      <xdr:colOff>88900</xdr:colOff>
      <xdr:row>46</xdr:row>
      <xdr:rowOff>0</xdr:rowOff>
    </xdr:from>
    <xdr:ext cx="666849" cy="133370"/>
    <xdr:sp macro="" textlink="">
      <xdr:nvSpPr>
        <xdr:cNvPr id="6547" name="RectangleComment_B9">
          <a:extLst>
            <a:ext uri="{FF2B5EF4-FFF2-40B4-BE49-F238E27FC236}">
              <a16:creationId xmlns:a16="http://schemas.microsoft.com/office/drawing/2014/main" id="{00000000-0008-0000-0000-000093190000}"/>
            </a:ext>
          </a:extLst>
        </xdr:cNvPr>
        <xdr:cNvSpPr txBox="1"/>
      </xdr:nvSpPr>
      <xdr:spPr>
        <a:xfrm>
          <a:off x="7289800" y="7096125"/>
          <a:ext cx="66684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確認・修正作業</a:t>
          </a:r>
        </a:p>
      </xdr:txBody>
    </xdr:sp>
    <xdr:clientData/>
  </xdr:oneCellAnchor>
  <xdr:twoCellAnchor editAs="oneCell">
    <xdr:from>
      <xdr:col>48</xdr:col>
      <xdr:colOff>95249</xdr:colOff>
      <xdr:row>49</xdr:row>
      <xdr:rowOff>21717</xdr:rowOff>
    </xdr:from>
    <xdr:to>
      <xdr:col>68</xdr:col>
      <xdr:colOff>88899</xdr:colOff>
      <xdr:row>49</xdr:row>
      <xdr:rowOff>94107</xdr:rowOff>
    </xdr:to>
    <xdr:sp macro="" textlink="">
      <xdr:nvSpPr>
        <xdr:cNvPr id="6573" name="Rectangle_C1" descr="右上がり対角線 (太)">
          <a:extLst>
            <a:ext uri="{FF2B5EF4-FFF2-40B4-BE49-F238E27FC236}">
              <a16:creationId xmlns:a16="http://schemas.microsoft.com/office/drawing/2014/main" id="{00000000-0008-0000-0000-0000AD190000}"/>
            </a:ext>
          </a:extLst>
        </xdr:cNvPr>
        <xdr:cNvSpPr>
          <a:spLocks noChangeArrowheads="1"/>
        </xdr:cNvSpPr>
      </xdr:nvSpPr>
      <xdr:spPr bwMode="auto">
        <a:xfrm>
          <a:off x="8629649" y="7498842"/>
          <a:ext cx="1898650" cy="72390"/>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49</xdr:col>
      <xdr:colOff>0</xdr:colOff>
      <xdr:row>49</xdr:row>
      <xdr:rowOff>94107</xdr:rowOff>
    </xdr:from>
    <xdr:to>
      <xdr:col>86</xdr:col>
      <xdr:colOff>88900</xdr:colOff>
      <xdr:row>49</xdr:row>
      <xdr:rowOff>166497</xdr:rowOff>
    </xdr:to>
    <xdr:sp macro="" textlink="">
      <xdr:nvSpPr>
        <xdr:cNvPr id="6574" name="ResultRectangle_C1">
          <a:extLst>
            <a:ext uri="{FF2B5EF4-FFF2-40B4-BE49-F238E27FC236}">
              <a16:creationId xmlns:a16="http://schemas.microsoft.com/office/drawing/2014/main" id="{00000000-0008-0000-0000-0000AE190000}"/>
            </a:ext>
          </a:extLst>
        </xdr:cNvPr>
        <xdr:cNvSpPr>
          <a:spLocks noChangeArrowheads="1"/>
        </xdr:cNvSpPr>
      </xdr:nvSpPr>
      <xdr:spPr bwMode="auto">
        <a:xfrm>
          <a:off x="8629650" y="7571232"/>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49</xdr:row>
      <xdr:rowOff>123063</xdr:rowOff>
    </xdr:from>
    <xdr:to>
      <xdr:col>86</xdr:col>
      <xdr:colOff>88900</xdr:colOff>
      <xdr:row>49</xdr:row>
      <xdr:rowOff>166497</xdr:rowOff>
    </xdr:to>
    <xdr:sp macro="" textlink="">
      <xdr:nvSpPr>
        <xdr:cNvPr id="6575" name="ProgressC1">
          <a:extLst>
            <a:ext uri="{FF2B5EF4-FFF2-40B4-BE49-F238E27FC236}">
              <a16:creationId xmlns:a16="http://schemas.microsoft.com/office/drawing/2014/main" id="{00000000-0008-0000-0000-0000AF190000}"/>
            </a:ext>
          </a:extLst>
        </xdr:cNvPr>
        <xdr:cNvSpPr>
          <a:spLocks noChangeArrowheads="1"/>
        </xdr:cNvSpPr>
      </xdr:nvSpPr>
      <xdr:spPr bwMode="auto">
        <a:xfrm>
          <a:off x="8629650" y="7600188"/>
          <a:ext cx="3613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68</xdr:col>
      <xdr:colOff>88899</xdr:colOff>
      <xdr:row>49</xdr:row>
      <xdr:rowOff>0</xdr:rowOff>
    </xdr:from>
    <xdr:ext cx="792333" cy="133370"/>
    <xdr:sp macro="" textlink="">
      <xdr:nvSpPr>
        <xdr:cNvPr id="6576" name="RectangleComment_C1">
          <a:extLst>
            <a:ext uri="{FF2B5EF4-FFF2-40B4-BE49-F238E27FC236}">
              <a16:creationId xmlns:a16="http://schemas.microsoft.com/office/drawing/2014/main" id="{00000000-0008-0000-0000-0000B0190000}"/>
            </a:ext>
          </a:extLst>
        </xdr:cNvPr>
        <xdr:cNvSpPr txBox="1"/>
      </xdr:nvSpPr>
      <xdr:spPr>
        <a:xfrm>
          <a:off x="10528299" y="74771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構想設計を書いた</a:t>
          </a:r>
        </a:p>
      </xdr:txBody>
    </xdr:sp>
    <xdr:clientData/>
  </xdr:oneCellAnchor>
  <xdr:twoCellAnchor editAs="oneCell">
    <xdr:from>
      <xdr:col>48</xdr:col>
      <xdr:colOff>95249</xdr:colOff>
      <xdr:row>50</xdr:row>
      <xdr:rowOff>21717</xdr:rowOff>
    </xdr:from>
    <xdr:to>
      <xdr:col>68</xdr:col>
      <xdr:colOff>88899</xdr:colOff>
      <xdr:row>50</xdr:row>
      <xdr:rowOff>94107</xdr:rowOff>
    </xdr:to>
    <xdr:sp macro="" textlink="">
      <xdr:nvSpPr>
        <xdr:cNvPr id="6577" name="Rectangle_C2" descr="右上がり対角線 (太)">
          <a:extLst>
            <a:ext uri="{FF2B5EF4-FFF2-40B4-BE49-F238E27FC236}">
              <a16:creationId xmlns:a16="http://schemas.microsoft.com/office/drawing/2014/main" id="{00000000-0008-0000-0000-0000B1190000}"/>
            </a:ext>
          </a:extLst>
        </xdr:cNvPr>
        <xdr:cNvSpPr>
          <a:spLocks noChangeArrowheads="1"/>
        </xdr:cNvSpPr>
      </xdr:nvSpPr>
      <xdr:spPr bwMode="auto">
        <a:xfrm>
          <a:off x="8629649" y="7679817"/>
          <a:ext cx="1898650" cy="7239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49</xdr:col>
      <xdr:colOff>0</xdr:colOff>
      <xdr:row>50</xdr:row>
      <xdr:rowOff>94107</xdr:rowOff>
    </xdr:from>
    <xdr:to>
      <xdr:col>86</xdr:col>
      <xdr:colOff>88900</xdr:colOff>
      <xdr:row>50</xdr:row>
      <xdr:rowOff>166497</xdr:rowOff>
    </xdr:to>
    <xdr:sp macro="" textlink="">
      <xdr:nvSpPr>
        <xdr:cNvPr id="6578" name="ResultRectangle_C2">
          <a:extLst>
            <a:ext uri="{FF2B5EF4-FFF2-40B4-BE49-F238E27FC236}">
              <a16:creationId xmlns:a16="http://schemas.microsoft.com/office/drawing/2014/main" id="{00000000-0008-0000-0000-0000B2190000}"/>
            </a:ext>
          </a:extLst>
        </xdr:cNvPr>
        <xdr:cNvSpPr>
          <a:spLocks noChangeArrowheads="1"/>
        </xdr:cNvSpPr>
      </xdr:nvSpPr>
      <xdr:spPr bwMode="auto">
        <a:xfrm>
          <a:off x="8629650" y="7752207"/>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50</xdr:row>
      <xdr:rowOff>123063</xdr:rowOff>
    </xdr:from>
    <xdr:to>
      <xdr:col>86</xdr:col>
      <xdr:colOff>88900</xdr:colOff>
      <xdr:row>50</xdr:row>
      <xdr:rowOff>166497</xdr:rowOff>
    </xdr:to>
    <xdr:sp macro="" textlink="">
      <xdr:nvSpPr>
        <xdr:cNvPr id="6579" name="ProgressC2">
          <a:extLst>
            <a:ext uri="{FF2B5EF4-FFF2-40B4-BE49-F238E27FC236}">
              <a16:creationId xmlns:a16="http://schemas.microsoft.com/office/drawing/2014/main" id="{00000000-0008-0000-0000-0000B3190000}"/>
            </a:ext>
          </a:extLst>
        </xdr:cNvPr>
        <xdr:cNvSpPr>
          <a:spLocks noChangeArrowheads="1"/>
        </xdr:cNvSpPr>
      </xdr:nvSpPr>
      <xdr:spPr bwMode="auto">
        <a:xfrm>
          <a:off x="8629650" y="7781163"/>
          <a:ext cx="3613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68</xdr:col>
      <xdr:colOff>88899</xdr:colOff>
      <xdr:row>50</xdr:row>
      <xdr:rowOff>0</xdr:rowOff>
    </xdr:from>
    <xdr:ext cx="894925" cy="133370"/>
    <xdr:sp macro="" textlink="">
      <xdr:nvSpPr>
        <xdr:cNvPr id="6580" name="RectangleComment_C2">
          <a:extLst>
            <a:ext uri="{FF2B5EF4-FFF2-40B4-BE49-F238E27FC236}">
              <a16:creationId xmlns:a16="http://schemas.microsoft.com/office/drawing/2014/main" id="{00000000-0008-0000-0000-0000B4190000}"/>
            </a:ext>
          </a:extLst>
        </xdr:cNvPr>
        <xdr:cNvSpPr txBox="1"/>
      </xdr:nvSpPr>
      <xdr:spPr>
        <a:xfrm>
          <a:off x="10528299" y="7658100"/>
          <a:ext cx="894925"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画面遷移図を書いた</a:t>
          </a:r>
        </a:p>
      </xdr:txBody>
    </xdr:sp>
    <xdr:clientData/>
  </xdr:oneCellAnchor>
  <xdr:twoCellAnchor editAs="oneCell">
    <xdr:from>
      <xdr:col>56</xdr:col>
      <xdr:colOff>95249</xdr:colOff>
      <xdr:row>51</xdr:row>
      <xdr:rowOff>21717</xdr:rowOff>
    </xdr:from>
    <xdr:to>
      <xdr:col>71</xdr:col>
      <xdr:colOff>88899</xdr:colOff>
      <xdr:row>51</xdr:row>
      <xdr:rowOff>94107</xdr:rowOff>
    </xdr:to>
    <xdr:sp macro="" textlink="">
      <xdr:nvSpPr>
        <xdr:cNvPr id="16393" name="Rectangle_C3" descr="右上がり対角線 (太)">
          <a:extLst>
            <a:ext uri="{FF2B5EF4-FFF2-40B4-BE49-F238E27FC236}">
              <a16:creationId xmlns:a16="http://schemas.microsoft.com/office/drawing/2014/main" id="{00000000-0008-0000-0000-000009400000}"/>
            </a:ext>
          </a:extLst>
        </xdr:cNvPr>
        <xdr:cNvSpPr>
          <a:spLocks noChangeArrowheads="1"/>
        </xdr:cNvSpPr>
      </xdr:nvSpPr>
      <xdr:spPr bwMode="auto">
        <a:xfrm>
          <a:off x="9391649" y="7860792"/>
          <a:ext cx="1422400" cy="7239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67</xdr:col>
      <xdr:colOff>0</xdr:colOff>
      <xdr:row>51</xdr:row>
      <xdr:rowOff>94107</xdr:rowOff>
    </xdr:from>
    <xdr:to>
      <xdr:col>89</xdr:col>
      <xdr:colOff>88900</xdr:colOff>
      <xdr:row>51</xdr:row>
      <xdr:rowOff>166497</xdr:rowOff>
    </xdr:to>
    <xdr:sp macro="" textlink="">
      <xdr:nvSpPr>
        <xdr:cNvPr id="16394" name="ResultRectangle_C3">
          <a:extLst>
            <a:ext uri="{FF2B5EF4-FFF2-40B4-BE49-F238E27FC236}">
              <a16:creationId xmlns:a16="http://schemas.microsoft.com/office/drawing/2014/main" id="{00000000-0008-0000-0000-00000A400000}"/>
            </a:ext>
          </a:extLst>
        </xdr:cNvPr>
        <xdr:cNvSpPr>
          <a:spLocks noChangeArrowheads="1"/>
        </xdr:cNvSpPr>
      </xdr:nvSpPr>
      <xdr:spPr bwMode="auto">
        <a:xfrm>
          <a:off x="10344150" y="7933182"/>
          <a:ext cx="218440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67</xdr:col>
      <xdr:colOff>0</xdr:colOff>
      <xdr:row>51</xdr:row>
      <xdr:rowOff>123063</xdr:rowOff>
    </xdr:from>
    <xdr:to>
      <xdr:col>89</xdr:col>
      <xdr:colOff>88900</xdr:colOff>
      <xdr:row>51</xdr:row>
      <xdr:rowOff>166497</xdr:rowOff>
    </xdr:to>
    <xdr:sp macro="" textlink="">
      <xdr:nvSpPr>
        <xdr:cNvPr id="16395" name="ProgressC3">
          <a:extLst>
            <a:ext uri="{FF2B5EF4-FFF2-40B4-BE49-F238E27FC236}">
              <a16:creationId xmlns:a16="http://schemas.microsoft.com/office/drawing/2014/main" id="{00000000-0008-0000-0000-00000B400000}"/>
            </a:ext>
          </a:extLst>
        </xdr:cNvPr>
        <xdr:cNvSpPr>
          <a:spLocks noChangeArrowheads="1"/>
        </xdr:cNvSpPr>
      </xdr:nvSpPr>
      <xdr:spPr bwMode="auto">
        <a:xfrm>
          <a:off x="10344150" y="7962138"/>
          <a:ext cx="218440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71</xdr:col>
      <xdr:colOff>88899</xdr:colOff>
      <xdr:row>51</xdr:row>
      <xdr:rowOff>0</xdr:rowOff>
    </xdr:from>
    <xdr:ext cx="1401859" cy="133370"/>
    <xdr:sp macro="" textlink="">
      <xdr:nvSpPr>
        <xdr:cNvPr id="16396" name="RectangleComment_C3">
          <a:extLst>
            <a:ext uri="{FF2B5EF4-FFF2-40B4-BE49-F238E27FC236}">
              <a16:creationId xmlns:a16="http://schemas.microsoft.com/office/drawing/2014/main" id="{00000000-0008-0000-0000-00000C400000}"/>
            </a:ext>
          </a:extLst>
        </xdr:cNvPr>
        <xdr:cNvSpPr txBox="1"/>
      </xdr:nvSpPr>
      <xdr:spPr>
        <a:xfrm>
          <a:off x="10814049" y="7839075"/>
          <a:ext cx="140185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構想設計、画面遷移図確認作業</a:t>
          </a:r>
        </a:p>
      </xdr:txBody>
    </xdr:sp>
    <xdr:clientData/>
  </xdr:oneCellAnchor>
  <xdr:twoCellAnchor editAs="oneCell">
    <xdr:from>
      <xdr:col>86</xdr:col>
      <xdr:colOff>95249</xdr:colOff>
      <xdr:row>52</xdr:row>
      <xdr:rowOff>21717</xdr:rowOff>
    </xdr:from>
    <xdr:to>
      <xdr:col>96</xdr:col>
      <xdr:colOff>88899</xdr:colOff>
      <xdr:row>52</xdr:row>
      <xdr:rowOff>94107</xdr:rowOff>
    </xdr:to>
    <xdr:sp macro="" textlink="">
      <xdr:nvSpPr>
        <xdr:cNvPr id="264" name="Rectangle_C4" descr="右上がり対角線 (太)">
          <a:extLst>
            <a:ext uri="{FF2B5EF4-FFF2-40B4-BE49-F238E27FC236}">
              <a16:creationId xmlns:a16="http://schemas.microsoft.com/office/drawing/2014/main" id="{00000000-0008-0000-0000-000008010000}"/>
            </a:ext>
          </a:extLst>
        </xdr:cNvPr>
        <xdr:cNvSpPr>
          <a:spLocks noChangeArrowheads="1"/>
        </xdr:cNvSpPr>
      </xdr:nvSpPr>
      <xdr:spPr bwMode="auto">
        <a:xfrm>
          <a:off x="12249149" y="8041767"/>
          <a:ext cx="946150" cy="72390"/>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87</xdr:col>
      <xdr:colOff>0</xdr:colOff>
      <xdr:row>52</xdr:row>
      <xdr:rowOff>94107</xdr:rowOff>
    </xdr:from>
    <xdr:to>
      <xdr:col>112</xdr:col>
      <xdr:colOff>88900</xdr:colOff>
      <xdr:row>52</xdr:row>
      <xdr:rowOff>166497</xdr:rowOff>
    </xdr:to>
    <xdr:sp macro="" textlink="">
      <xdr:nvSpPr>
        <xdr:cNvPr id="265" name="ResultRectangle_C4">
          <a:extLst>
            <a:ext uri="{FF2B5EF4-FFF2-40B4-BE49-F238E27FC236}">
              <a16:creationId xmlns:a16="http://schemas.microsoft.com/office/drawing/2014/main" id="{00000000-0008-0000-0000-000009010000}"/>
            </a:ext>
          </a:extLst>
        </xdr:cNvPr>
        <xdr:cNvSpPr>
          <a:spLocks noChangeArrowheads="1"/>
        </xdr:cNvSpPr>
      </xdr:nvSpPr>
      <xdr:spPr bwMode="auto">
        <a:xfrm>
          <a:off x="12249150" y="8114157"/>
          <a:ext cx="2470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87</xdr:col>
      <xdr:colOff>0</xdr:colOff>
      <xdr:row>52</xdr:row>
      <xdr:rowOff>123063</xdr:rowOff>
    </xdr:from>
    <xdr:to>
      <xdr:col>112</xdr:col>
      <xdr:colOff>88900</xdr:colOff>
      <xdr:row>52</xdr:row>
      <xdr:rowOff>166497</xdr:rowOff>
    </xdr:to>
    <xdr:sp macro="" textlink="">
      <xdr:nvSpPr>
        <xdr:cNvPr id="266" name="ProgressC4">
          <a:extLst>
            <a:ext uri="{FF2B5EF4-FFF2-40B4-BE49-F238E27FC236}">
              <a16:creationId xmlns:a16="http://schemas.microsoft.com/office/drawing/2014/main" id="{00000000-0008-0000-0000-00000A010000}"/>
            </a:ext>
          </a:extLst>
        </xdr:cNvPr>
        <xdr:cNvSpPr>
          <a:spLocks noChangeArrowheads="1"/>
        </xdr:cNvSpPr>
      </xdr:nvSpPr>
      <xdr:spPr bwMode="auto">
        <a:xfrm>
          <a:off x="12249150" y="8143113"/>
          <a:ext cx="2470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96</xdr:col>
      <xdr:colOff>88900</xdr:colOff>
      <xdr:row>52</xdr:row>
      <xdr:rowOff>0</xdr:rowOff>
    </xdr:from>
    <xdr:ext cx="1196674" cy="133370"/>
    <xdr:sp macro="" textlink="">
      <xdr:nvSpPr>
        <xdr:cNvPr id="267" name="RectangleComment_C4">
          <a:extLst>
            <a:ext uri="{FF2B5EF4-FFF2-40B4-BE49-F238E27FC236}">
              <a16:creationId xmlns:a16="http://schemas.microsoft.com/office/drawing/2014/main" id="{00000000-0008-0000-0000-00000B010000}"/>
            </a:ext>
          </a:extLst>
        </xdr:cNvPr>
        <xdr:cNvSpPr txBox="1"/>
      </xdr:nvSpPr>
      <xdr:spPr>
        <a:xfrm>
          <a:off x="13195300" y="8020050"/>
          <a:ext cx="119667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構想設計、画面遷移図修正</a:t>
          </a:r>
        </a:p>
      </xdr:txBody>
    </xdr:sp>
    <xdr:clientData/>
  </xdr:oneCellAnchor>
  <xdr:twoCellAnchor editAs="oneCell">
    <xdr:from>
      <xdr:col>86</xdr:col>
      <xdr:colOff>95249</xdr:colOff>
      <xdr:row>53</xdr:row>
      <xdr:rowOff>21717</xdr:rowOff>
    </xdr:from>
    <xdr:to>
      <xdr:col>96</xdr:col>
      <xdr:colOff>88899</xdr:colOff>
      <xdr:row>53</xdr:row>
      <xdr:rowOff>94107</xdr:rowOff>
    </xdr:to>
    <xdr:sp macro="" textlink="">
      <xdr:nvSpPr>
        <xdr:cNvPr id="268" name="Rectangle_C5" descr="右上がり対角線 (太)">
          <a:extLst>
            <a:ext uri="{FF2B5EF4-FFF2-40B4-BE49-F238E27FC236}">
              <a16:creationId xmlns:a16="http://schemas.microsoft.com/office/drawing/2014/main" id="{00000000-0008-0000-0000-00000C010000}"/>
            </a:ext>
          </a:extLst>
        </xdr:cNvPr>
        <xdr:cNvSpPr>
          <a:spLocks noChangeArrowheads="1"/>
        </xdr:cNvSpPr>
      </xdr:nvSpPr>
      <xdr:spPr bwMode="auto">
        <a:xfrm>
          <a:off x="12249149" y="8222742"/>
          <a:ext cx="946150" cy="7239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87</xdr:col>
      <xdr:colOff>0</xdr:colOff>
      <xdr:row>53</xdr:row>
      <xdr:rowOff>94107</xdr:rowOff>
    </xdr:from>
    <xdr:to>
      <xdr:col>112</xdr:col>
      <xdr:colOff>88900</xdr:colOff>
      <xdr:row>53</xdr:row>
      <xdr:rowOff>166497</xdr:rowOff>
    </xdr:to>
    <xdr:sp macro="" textlink="">
      <xdr:nvSpPr>
        <xdr:cNvPr id="269" name="ResultRectangle_C5">
          <a:extLst>
            <a:ext uri="{FF2B5EF4-FFF2-40B4-BE49-F238E27FC236}">
              <a16:creationId xmlns:a16="http://schemas.microsoft.com/office/drawing/2014/main" id="{00000000-0008-0000-0000-00000D010000}"/>
            </a:ext>
          </a:extLst>
        </xdr:cNvPr>
        <xdr:cNvSpPr>
          <a:spLocks noChangeArrowheads="1"/>
        </xdr:cNvSpPr>
      </xdr:nvSpPr>
      <xdr:spPr bwMode="auto">
        <a:xfrm>
          <a:off x="12249150" y="8295132"/>
          <a:ext cx="2470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87</xdr:col>
      <xdr:colOff>0</xdr:colOff>
      <xdr:row>53</xdr:row>
      <xdr:rowOff>123063</xdr:rowOff>
    </xdr:from>
    <xdr:to>
      <xdr:col>112</xdr:col>
      <xdr:colOff>88900</xdr:colOff>
      <xdr:row>53</xdr:row>
      <xdr:rowOff>166497</xdr:rowOff>
    </xdr:to>
    <xdr:sp macro="" textlink="">
      <xdr:nvSpPr>
        <xdr:cNvPr id="270" name="ProgressC5">
          <a:extLst>
            <a:ext uri="{FF2B5EF4-FFF2-40B4-BE49-F238E27FC236}">
              <a16:creationId xmlns:a16="http://schemas.microsoft.com/office/drawing/2014/main" id="{00000000-0008-0000-0000-00000E010000}"/>
            </a:ext>
          </a:extLst>
        </xdr:cNvPr>
        <xdr:cNvSpPr>
          <a:spLocks noChangeArrowheads="1"/>
        </xdr:cNvSpPr>
      </xdr:nvSpPr>
      <xdr:spPr bwMode="auto">
        <a:xfrm>
          <a:off x="12249150" y="8324088"/>
          <a:ext cx="2470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96</xdr:col>
      <xdr:colOff>88900</xdr:colOff>
      <xdr:row>53</xdr:row>
      <xdr:rowOff>0</xdr:rowOff>
    </xdr:from>
    <xdr:ext cx="1196674" cy="133370"/>
    <xdr:sp macro="" textlink="">
      <xdr:nvSpPr>
        <xdr:cNvPr id="272" name="RectangleComment_C5">
          <a:extLst>
            <a:ext uri="{FF2B5EF4-FFF2-40B4-BE49-F238E27FC236}">
              <a16:creationId xmlns:a16="http://schemas.microsoft.com/office/drawing/2014/main" id="{00000000-0008-0000-0000-000010010000}"/>
            </a:ext>
          </a:extLst>
        </xdr:cNvPr>
        <xdr:cNvSpPr txBox="1"/>
      </xdr:nvSpPr>
      <xdr:spPr>
        <a:xfrm>
          <a:off x="13195300" y="8201025"/>
          <a:ext cx="119667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構想設計、画面遷移図修正</a:t>
          </a:r>
        </a:p>
      </xdr:txBody>
    </xdr:sp>
    <xdr:clientData/>
  </xdr:oneCellAnchor>
  <xdr:twoCellAnchor editAs="oneCell">
    <xdr:from>
      <xdr:col>86</xdr:col>
      <xdr:colOff>95249</xdr:colOff>
      <xdr:row>54</xdr:row>
      <xdr:rowOff>21717</xdr:rowOff>
    </xdr:from>
    <xdr:to>
      <xdr:col>96</xdr:col>
      <xdr:colOff>88899</xdr:colOff>
      <xdr:row>54</xdr:row>
      <xdr:rowOff>94107</xdr:rowOff>
    </xdr:to>
    <xdr:sp macro="" textlink="">
      <xdr:nvSpPr>
        <xdr:cNvPr id="273" name="Rectangle_C6" descr="右上がり対角線 (太)">
          <a:extLst>
            <a:ext uri="{FF2B5EF4-FFF2-40B4-BE49-F238E27FC236}">
              <a16:creationId xmlns:a16="http://schemas.microsoft.com/office/drawing/2014/main" id="{00000000-0008-0000-0000-000011010000}"/>
            </a:ext>
          </a:extLst>
        </xdr:cNvPr>
        <xdr:cNvSpPr>
          <a:spLocks noChangeArrowheads="1"/>
        </xdr:cNvSpPr>
      </xdr:nvSpPr>
      <xdr:spPr bwMode="auto">
        <a:xfrm>
          <a:off x="12249149" y="8403717"/>
          <a:ext cx="946150" cy="7239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87</xdr:col>
      <xdr:colOff>0</xdr:colOff>
      <xdr:row>54</xdr:row>
      <xdr:rowOff>94107</xdr:rowOff>
    </xdr:from>
    <xdr:to>
      <xdr:col>112</xdr:col>
      <xdr:colOff>88900</xdr:colOff>
      <xdr:row>54</xdr:row>
      <xdr:rowOff>166497</xdr:rowOff>
    </xdr:to>
    <xdr:sp macro="" textlink="">
      <xdr:nvSpPr>
        <xdr:cNvPr id="274" name="ResultRectangle_C6">
          <a:extLst>
            <a:ext uri="{FF2B5EF4-FFF2-40B4-BE49-F238E27FC236}">
              <a16:creationId xmlns:a16="http://schemas.microsoft.com/office/drawing/2014/main" id="{00000000-0008-0000-0000-000012010000}"/>
            </a:ext>
          </a:extLst>
        </xdr:cNvPr>
        <xdr:cNvSpPr>
          <a:spLocks noChangeArrowheads="1"/>
        </xdr:cNvSpPr>
      </xdr:nvSpPr>
      <xdr:spPr bwMode="auto">
        <a:xfrm>
          <a:off x="12249150" y="8476107"/>
          <a:ext cx="2470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87</xdr:col>
      <xdr:colOff>0</xdr:colOff>
      <xdr:row>54</xdr:row>
      <xdr:rowOff>123063</xdr:rowOff>
    </xdr:from>
    <xdr:to>
      <xdr:col>112</xdr:col>
      <xdr:colOff>88900</xdr:colOff>
      <xdr:row>54</xdr:row>
      <xdr:rowOff>166497</xdr:rowOff>
    </xdr:to>
    <xdr:sp macro="" textlink="">
      <xdr:nvSpPr>
        <xdr:cNvPr id="275" name="ProgressC6">
          <a:extLst>
            <a:ext uri="{FF2B5EF4-FFF2-40B4-BE49-F238E27FC236}">
              <a16:creationId xmlns:a16="http://schemas.microsoft.com/office/drawing/2014/main" id="{00000000-0008-0000-0000-000013010000}"/>
            </a:ext>
          </a:extLst>
        </xdr:cNvPr>
        <xdr:cNvSpPr>
          <a:spLocks noChangeArrowheads="1"/>
        </xdr:cNvSpPr>
      </xdr:nvSpPr>
      <xdr:spPr bwMode="auto">
        <a:xfrm>
          <a:off x="12249150" y="8505063"/>
          <a:ext cx="2470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96</xdr:col>
      <xdr:colOff>88900</xdr:colOff>
      <xdr:row>54</xdr:row>
      <xdr:rowOff>0</xdr:rowOff>
    </xdr:from>
    <xdr:ext cx="1196674" cy="133370"/>
    <xdr:sp macro="" textlink="">
      <xdr:nvSpPr>
        <xdr:cNvPr id="276" name="RectangleComment_C6">
          <a:extLst>
            <a:ext uri="{FF2B5EF4-FFF2-40B4-BE49-F238E27FC236}">
              <a16:creationId xmlns:a16="http://schemas.microsoft.com/office/drawing/2014/main" id="{00000000-0008-0000-0000-000014010000}"/>
            </a:ext>
          </a:extLst>
        </xdr:cNvPr>
        <xdr:cNvSpPr txBox="1"/>
      </xdr:nvSpPr>
      <xdr:spPr>
        <a:xfrm>
          <a:off x="13195300" y="8382000"/>
          <a:ext cx="119667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構想設計、画面遷移図修正</a:t>
          </a:r>
        </a:p>
      </xdr:txBody>
    </xdr:sp>
    <xdr:clientData/>
  </xdr:oneCellAnchor>
  <xdr:twoCellAnchor editAs="oneCell">
    <xdr:from>
      <xdr:col>67</xdr:col>
      <xdr:colOff>0</xdr:colOff>
      <xdr:row>18</xdr:row>
      <xdr:rowOff>20574</xdr:rowOff>
    </xdr:from>
    <xdr:to>
      <xdr:col>68</xdr:col>
      <xdr:colOff>88900</xdr:colOff>
      <xdr:row>18</xdr:row>
      <xdr:rowOff>89154</xdr:rowOff>
    </xdr:to>
    <xdr:sp macro="" textlink="">
      <xdr:nvSpPr>
        <xdr:cNvPr id="6" name="Rectangle_A5">
          <a:extLst>
            <a:ext uri="{FF2B5EF4-FFF2-40B4-BE49-F238E27FC236}">
              <a16:creationId xmlns:a16="http://schemas.microsoft.com/office/drawing/2014/main" id="{00000000-0008-0000-0000-000006000000}"/>
            </a:ext>
          </a:extLst>
        </xdr:cNvPr>
        <xdr:cNvSpPr>
          <a:spLocks noChangeArrowheads="1"/>
        </xdr:cNvSpPr>
      </xdr:nvSpPr>
      <xdr:spPr bwMode="auto">
        <a:xfrm>
          <a:off x="10344150" y="23351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84</xdr:col>
      <xdr:colOff>0</xdr:colOff>
      <xdr:row>18</xdr:row>
      <xdr:rowOff>89154</xdr:rowOff>
    </xdr:from>
    <xdr:to>
      <xdr:col>85</xdr:col>
      <xdr:colOff>88900</xdr:colOff>
      <xdr:row>18</xdr:row>
      <xdr:rowOff>157734</xdr:rowOff>
    </xdr:to>
    <xdr:sp macro="" textlink="">
      <xdr:nvSpPr>
        <xdr:cNvPr id="7" name="ResultRectangle_A5">
          <a:extLst>
            <a:ext uri="{FF2B5EF4-FFF2-40B4-BE49-F238E27FC236}">
              <a16:creationId xmlns:a16="http://schemas.microsoft.com/office/drawing/2014/main" id="{00000000-0008-0000-0000-000007000000}"/>
            </a:ext>
          </a:extLst>
        </xdr:cNvPr>
        <xdr:cNvSpPr>
          <a:spLocks noChangeArrowheads="1"/>
        </xdr:cNvSpPr>
      </xdr:nvSpPr>
      <xdr:spPr bwMode="auto">
        <a:xfrm>
          <a:off x="11963400" y="240372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84</xdr:col>
      <xdr:colOff>0</xdr:colOff>
      <xdr:row>18</xdr:row>
      <xdr:rowOff>116586</xdr:rowOff>
    </xdr:from>
    <xdr:to>
      <xdr:col>85</xdr:col>
      <xdr:colOff>88900</xdr:colOff>
      <xdr:row>18</xdr:row>
      <xdr:rowOff>157734</xdr:rowOff>
    </xdr:to>
    <xdr:sp macro="" textlink="">
      <xdr:nvSpPr>
        <xdr:cNvPr id="8" name="ProgressA5">
          <a:extLst>
            <a:ext uri="{FF2B5EF4-FFF2-40B4-BE49-F238E27FC236}">
              <a16:creationId xmlns:a16="http://schemas.microsoft.com/office/drawing/2014/main" id="{00000000-0008-0000-0000-000008000000}"/>
            </a:ext>
          </a:extLst>
        </xdr:cNvPr>
        <xdr:cNvSpPr>
          <a:spLocks noChangeArrowheads="1"/>
        </xdr:cNvSpPr>
      </xdr:nvSpPr>
      <xdr:spPr bwMode="auto">
        <a:xfrm>
          <a:off x="11963400" y="243116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68</xdr:col>
      <xdr:colOff>88900</xdr:colOff>
      <xdr:row>18</xdr:row>
      <xdr:rowOff>0</xdr:rowOff>
    </xdr:from>
    <xdr:ext cx="1087670" cy="133370"/>
    <xdr:sp macro="" textlink="">
      <xdr:nvSpPr>
        <xdr:cNvPr id="9" name="RectangleComment_A5">
          <a:extLst>
            <a:ext uri="{FF2B5EF4-FFF2-40B4-BE49-F238E27FC236}">
              <a16:creationId xmlns:a16="http://schemas.microsoft.com/office/drawing/2014/main" id="{00000000-0008-0000-0000-000009000000}"/>
            </a:ext>
          </a:extLst>
        </xdr:cNvPr>
        <xdr:cNvSpPr txBox="1"/>
      </xdr:nvSpPr>
      <xdr:spPr>
        <a:xfrm>
          <a:off x="10528300" y="23145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83</xdr:col>
      <xdr:colOff>0</xdr:colOff>
      <xdr:row>19</xdr:row>
      <xdr:rowOff>20574</xdr:rowOff>
    </xdr:from>
    <xdr:to>
      <xdr:col>84</xdr:col>
      <xdr:colOff>88900</xdr:colOff>
      <xdr:row>19</xdr:row>
      <xdr:rowOff>89154</xdr:rowOff>
    </xdr:to>
    <xdr:sp macro="" textlink="">
      <xdr:nvSpPr>
        <xdr:cNvPr id="10" name="Rectangle_A6">
          <a:extLst>
            <a:ext uri="{FF2B5EF4-FFF2-40B4-BE49-F238E27FC236}">
              <a16:creationId xmlns:a16="http://schemas.microsoft.com/office/drawing/2014/main" id="{00000000-0008-0000-0000-00000A000000}"/>
            </a:ext>
          </a:extLst>
        </xdr:cNvPr>
        <xdr:cNvSpPr>
          <a:spLocks noChangeArrowheads="1"/>
        </xdr:cNvSpPr>
      </xdr:nvSpPr>
      <xdr:spPr bwMode="auto">
        <a:xfrm>
          <a:off x="11868150" y="25065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107</xdr:col>
      <xdr:colOff>0</xdr:colOff>
      <xdr:row>19</xdr:row>
      <xdr:rowOff>89154</xdr:rowOff>
    </xdr:from>
    <xdr:to>
      <xdr:col>108</xdr:col>
      <xdr:colOff>88900</xdr:colOff>
      <xdr:row>19</xdr:row>
      <xdr:rowOff>157734</xdr:rowOff>
    </xdr:to>
    <xdr:sp macro="" textlink="">
      <xdr:nvSpPr>
        <xdr:cNvPr id="11" name="ResultRectangle_A6">
          <a:extLst>
            <a:ext uri="{FF2B5EF4-FFF2-40B4-BE49-F238E27FC236}">
              <a16:creationId xmlns:a16="http://schemas.microsoft.com/office/drawing/2014/main" id="{00000000-0008-0000-0000-00000B000000}"/>
            </a:ext>
          </a:extLst>
        </xdr:cNvPr>
        <xdr:cNvSpPr>
          <a:spLocks noChangeArrowheads="1"/>
        </xdr:cNvSpPr>
      </xdr:nvSpPr>
      <xdr:spPr bwMode="auto">
        <a:xfrm>
          <a:off x="14154150" y="257517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107</xdr:col>
      <xdr:colOff>0</xdr:colOff>
      <xdr:row>19</xdr:row>
      <xdr:rowOff>116586</xdr:rowOff>
    </xdr:from>
    <xdr:to>
      <xdr:col>108</xdr:col>
      <xdr:colOff>88900</xdr:colOff>
      <xdr:row>19</xdr:row>
      <xdr:rowOff>157734</xdr:rowOff>
    </xdr:to>
    <xdr:sp macro="" textlink="">
      <xdr:nvSpPr>
        <xdr:cNvPr id="12" name="ProgressA6">
          <a:extLst>
            <a:ext uri="{FF2B5EF4-FFF2-40B4-BE49-F238E27FC236}">
              <a16:creationId xmlns:a16="http://schemas.microsoft.com/office/drawing/2014/main" id="{00000000-0008-0000-0000-00000C000000}"/>
            </a:ext>
          </a:extLst>
        </xdr:cNvPr>
        <xdr:cNvSpPr>
          <a:spLocks noChangeArrowheads="1"/>
        </xdr:cNvSpPr>
      </xdr:nvSpPr>
      <xdr:spPr bwMode="auto">
        <a:xfrm>
          <a:off x="14154150" y="260261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84</xdr:col>
      <xdr:colOff>88900</xdr:colOff>
      <xdr:row>19</xdr:row>
      <xdr:rowOff>0</xdr:rowOff>
    </xdr:from>
    <xdr:ext cx="1087670" cy="133370"/>
    <xdr:sp macro="" textlink="">
      <xdr:nvSpPr>
        <xdr:cNvPr id="13" name="RectangleComment_A6">
          <a:extLst>
            <a:ext uri="{FF2B5EF4-FFF2-40B4-BE49-F238E27FC236}">
              <a16:creationId xmlns:a16="http://schemas.microsoft.com/office/drawing/2014/main" id="{00000000-0008-0000-0000-00000D000000}"/>
            </a:ext>
          </a:extLst>
        </xdr:cNvPr>
        <xdr:cNvSpPr txBox="1"/>
      </xdr:nvSpPr>
      <xdr:spPr>
        <a:xfrm>
          <a:off x="12052300" y="24860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21</xdr:col>
      <xdr:colOff>0</xdr:colOff>
      <xdr:row>14</xdr:row>
      <xdr:rowOff>20574</xdr:rowOff>
    </xdr:from>
    <xdr:to>
      <xdr:col>66</xdr:col>
      <xdr:colOff>88900</xdr:colOff>
      <xdr:row>14</xdr:row>
      <xdr:rowOff>89154</xdr:rowOff>
    </xdr:to>
    <xdr:sp macro="" textlink="">
      <xdr:nvSpPr>
        <xdr:cNvPr id="54" name="Rectangle_A1">
          <a:extLst>
            <a:ext uri="{FF2B5EF4-FFF2-40B4-BE49-F238E27FC236}">
              <a16:creationId xmlns:a16="http://schemas.microsoft.com/office/drawing/2014/main" id="{00000000-0008-0000-0000-000036000000}"/>
            </a:ext>
          </a:extLst>
        </xdr:cNvPr>
        <xdr:cNvSpPr>
          <a:spLocks noChangeArrowheads="1"/>
        </xdr:cNvSpPr>
      </xdr:nvSpPr>
      <xdr:spPr bwMode="auto">
        <a:xfrm>
          <a:off x="5962650" y="1649349"/>
          <a:ext cx="4375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21</xdr:col>
      <xdr:colOff>0</xdr:colOff>
      <xdr:row>14</xdr:row>
      <xdr:rowOff>89154</xdr:rowOff>
    </xdr:from>
    <xdr:to>
      <xdr:col>111</xdr:col>
      <xdr:colOff>88900</xdr:colOff>
      <xdr:row>14</xdr:row>
      <xdr:rowOff>157734</xdr:rowOff>
    </xdr:to>
    <xdr:sp macro="" textlink="">
      <xdr:nvSpPr>
        <xdr:cNvPr id="55" name="ResultRectangle_A1">
          <a:extLst>
            <a:ext uri="{FF2B5EF4-FFF2-40B4-BE49-F238E27FC236}">
              <a16:creationId xmlns:a16="http://schemas.microsoft.com/office/drawing/2014/main" id="{00000000-0008-0000-0000-000037000000}"/>
            </a:ext>
          </a:extLst>
        </xdr:cNvPr>
        <xdr:cNvSpPr>
          <a:spLocks noChangeArrowheads="1"/>
        </xdr:cNvSpPr>
      </xdr:nvSpPr>
      <xdr:spPr bwMode="auto">
        <a:xfrm>
          <a:off x="5962650" y="1717929"/>
          <a:ext cx="86614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14</xdr:row>
      <xdr:rowOff>116586</xdr:rowOff>
    </xdr:from>
    <xdr:to>
      <xdr:col>111</xdr:col>
      <xdr:colOff>88900</xdr:colOff>
      <xdr:row>14</xdr:row>
      <xdr:rowOff>157734</xdr:rowOff>
    </xdr:to>
    <xdr:sp macro="" textlink="">
      <xdr:nvSpPr>
        <xdr:cNvPr id="56" name="ProgressA1">
          <a:extLst>
            <a:ext uri="{FF2B5EF4-FFF2-40B4-BE49-F238E27FC236}">
              <a16:creationId xmlns:a16="http://schemas.microsoft.com/office/drawing/2014/main" id="{00000000-0008-0000-0000-000038000000}"/>
            </a:ext>
          </a:extLst>
        </xdr:cNvPr>
        <xdr:cNvSpPr>
          <a:spLocks noChangeArrowheads="1"/>
        </xdr:cNvSpPr>
      </xdr:nvSpPr>
      <xdr:spPr bwMode="auto">
        <a:xfrm>
          <a:off x="5962650" y="1745361"/>
          <a:ext cx="866140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88900</xdr:colOff>
      <xdr:row>14</xdr:row>
      <xdr:rowOff>0</xdr:rowOff>
    </xdr:from>
    <xdr:ext cx="410369" cy="133370"/>
    <xdr:sp macro="" textlink="">
      <xdr:nvSpPr>
        <xdr:cNvPr id="57" name="RectangleComment_A1">
          <a:extLst>
            <a:ext uri="{FF2B5EF4-FFF2-40B4-BE49-F238E27FC236}">
              <a16:creationId xmlns:a16="http://schemas.microsoft.com/office/drawing/2014/main" id="{00000000-0008-0000-0000-000039000000}"/>
            </a:ext>
          </a:extLst>
        </xdr:cNvPr>
        <xdr:cNvSpPr txBox="1"/>
      </xdr:nvSpPr>
      <xdr:spPr>
        <a:xfrm>
          <a:off x="10337800" y="16287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要件定義</a:t>
          </a:r>
        </a:p>
      </xdr:txBody>
    </xdr:sp>
    <xdr:clientData/>
  </xdr:oneCellAnchor>
  <xdr:twoCellAnchor editAs="oneCell">
    <xdr:from>
      <xdr:col>49</xdr:col>
      <xdr:colOff>0</xdr:colOff>
      <xdr:row>17</xdr:row>
      <xdr:rowOff>20574</xdr:rowOff>
    </xdr:from>
    <xdr:to>
      <xdr:col>86</xdr:col>
      <xdr:colOff>88900</xdr:colOff>
      <xdr:row>17</xdr:row>
      <xdr:rowOff>89154</xdr:rowOff>
    </xdr:to>
    <xdr:sp macro="" textlink="">
      <xdr:nvSpPr>
        <xdr:cNvPr id="58" name="Rectangle_A4">
          <a:extLst>
            <a:ext uri="{FF2B5EF4-FFF2-40B4-BE49-F238E27FC236}">
              <a16:creationId xmlns:a16="http://schemas.microsoft.com/office/drawing/2014/main" id="{00000000-0008-0000-0000-00003A000000}"/>
            </a:ext>
          </a:extLst>
        </xdr:cNvPr>
        <xdr:cNvSpPr>
          <a:spLocks noChangeArrowheads="1"/>
        </xdr:cNvSpPr>
      </xdr:nvSpPr>
      <xdr:spPr bwMode="auto">
        <a:xfrm>
          <a:off x="8629650" y="2163699"/>
          <a:ext cx="3613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49</xdr:col>
      <xdr:colOff>0</xdr:colOff>
      <xdr:row>17</xdr:row>
      <xdr:rowOff>89154</xdr:rowOff>
    </xdr:from>
    <xdr:to>
      <xdr:col>112</xdr:col>
      <xdr:colOff>88900</xdr:colOff>
      <xdr:row>17</xdr:row>
      <xdr:rowOff>157734</xdr:rowOff>
    </xdr:to>
    <xdr:sp macro="" textlink="">
      <xdr:nvSpPr>
        <xdr:cNvPr id="59" name="ResultRectangle_A4">
          <a:extLst>
            <a:ext uri="{FF2B5EF4-FFF2-40B4-BE49-F238E27FC236}">
              <a16:creationId xmlns:a16="http://schemas.microsoft.com/office/drawing/2014/main" id="{00000000-0008-0000-0000-00003B000000}"/>
            </a:ext>
          </a:extLst>
        </xdr:cNvPr>
        <xdr:cNvSpPr>
          <a:spLocks noChangeArrowheads="1"/>
        </xdr:cNvSpPr>
      </xdr:nvSpPr>
      <xdr:spPr bwMode="auto">
        <a:xfrm>
          <a:off x="8629650" y="2232279"/>
          <a:ext cx="60896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17</xdr:row>
      <xdr:rowOff>116586</xdr:rowOff>
    </xdr:from>
    <xdr:to>
      <xdr:col>112</xdr:col>
      <xdr:colOff>88900</xdr:colOff>
      <xdr:row>17</xdr:row>
      <xdr:rowOff>157734</xdr:rowOff>
    </xdr:to>
    <xdr:sp macro="" textlink="">
      <xdr:nvSpPr>
        <xdr:cNvPr id="60" name="ProgressA4">
          <a:extLst>
            <a:ext uri="{FF2B5EF4-FFF2-40B4-BE49-F238E27FC236}">
              <a16:creationId xmlns:a16="http://schemas.microsoft.com/office/drawing/2014/main" id="{00000000-0008-0000-0000-00003C000000}"/>
            </a:ext>
          </a:extLst>
        </xdr:cNvPr>
        <xdr:cNvSpPr>
          <a:spLocks noChangeArrowheads="1"/>
        </xdr:cNvSpPr>
      </xdr:nvSpPr>
      <xdr:spPr bwMode="auto">
        <a:xfrm>
          <a:off x="8629650" y="2259711"/>
          <a:ext cx="60896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86</xdr:col>
      <xdr:colOff>88900</xdr:colOff>
      <xdr:row>17</xdr:row>
      <xdr:rowOff>0</xdr:rowOff>
    </xdr:from>
    <xdr:ext cx="410369" cy="133370"/>
    <xdr:sp macro="" textlink="">
      <xdr:nvSpPr>
        <xdr:cNvPr id="61" name="RectangleComment_A4">
          <a:extLst>
            <a:ext uri="{FF2B5EF4-FFF2-40B4-BE49-F238E27FC236}">
              <a16:creationId xmlns:a16="http://schemas.microsoft.com/office/drawing/2014/main" id="{00000000-0008-0000-0000-00003D000000}"/>
            </a:ext>
          </a:extLst>
        </xdr:cNvPr>
        <xdr:cNvSpPr txBox="1"/>
      </xdr:nvSpPr>
      <xdr:spPr>
        <a:xfrm>
          <a:off x="12242800" y="214312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a:t>
          </a:r>
        </a:p>
      </xdr:txBody>
    </xdr:sp>
    <xdr:clientData/>
  </xdr:oneCellAnchor>
  <xdr:twoCellAnchor editAs="oneCell">
    <xdr:from>
      <xdr:col>96</xdr:col>
      <xdr:colOff>95249</xdr:colOff>
      <xdr:row>55</xdr:row>
      <xdr:rowOff>21717</xdr:rowOff>
    </xdr:from>
    <xdr:to>
      <xdr:col>112</xdr:col>
      <xdr:colOff>88899</xdr:colOff>
      <xdr:row>55</xdr:row>
      <xdr:rowOff>94107</xdr:rowOff>
    </xdr:to>
    <xdr:sp macro="" textlink="">
      <xdr:nvSpPr>
        <xdr:cNvPr id="6571" name="Rectangle_C7" descr="右上がり対角線 (太)">
          <a:extLst>
            <a:ext uri="{FF2B5EF4-FFF2-40B4-BE49-F238E27FC236}">
              <a16:creationId xmlns:a16="http://schemas.microsoft.com/office/drawing/2014/main" id="{426F9BD9-A6C3-8EB4-11C9-9E6D688A4396}"/>
            </a:ext>
          </a:extLst>
        </xdr:cNvPr>
        <xdr:cNvSpPr>
          <a:spLocks noChangeArrowheads="1"/>
        </xdr:cNvSpPr>
      </xdr:nvSpPr>
      <xdr:spPr bwMode="auto">
        <a:xfrm>
          <a:off x="13201649" y="8584692"/>
          <a:ext cx="1517650" cy="7239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110</xdr:col>
      <xdr:colOff>0</xdr:colOff>
      <xdr:row>55</xdr:row>
      <xdr:rowOff>94107</xdr:rowOff>
    </xdr:from>
    <xdr:to>
      <xdr:col>147</xdr:col>
      <xdr:colOff>88900</xdr:colOff>
      <xdr:row>55</xdr:row>
      <xdr:rowOff>166497</xdr:rowOff>
    </xdr:to>
    <xdr:sp macro="" textlink="">
      <xdr:nvSpPr>
        <xdr:cNvPr id="6584" name="ResultRectangle_C7">
          <a:extLst>
            <a:ext uri="{FF2B5EF4-FFF2-40B4-BE49-F238E27FC236}">
              <a16:creationId xmlns:a16="http://schemas.microsoft.com/office/drawing/2014/main" id="{52429BD3-ECEA-4092-0791-EC440E347719}"/>
            </a:ext>
          </a:extLst>
        </xdr:cNvPr>
        <xdr:cNvSpPr>
          <a:spLocks noChangeArrowheads="1"/>
        </xdr:cNvSpPr>
      </xdr:nvSpPr>
      <xdr:spPr bwMode="auto">
        <a:xfrm>
          <a:off x="14439900" y="8657082"/>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110</xdr:col>
      <xdr:colOff>0</xdr:colOff>
      <xdr:row>55</xdr:row>
      <xdr:rowOff>123063</xdr:rowOff>
    </xdr:from>
    <xdr:to>
      <xdr:col>147</xdr:col>
      <xdr:colOff>88900</xdr:colOff>
      <xdr:row>55</xdr:row>
      <xdr:rowOff>166497</xdr:rowOff>
    </xdr:to>
    <xdr:sp macro="" textlink="">
      <xdr:nvSpPr>
        <xdr:cNvPr id="6585" name="ProgressC7">
          <a:extLst>
            <a:ext uri="{FF2B5EF4-FFF2-40B4-BE49-F238E27FC236}">
              <a16:creationId xmlns:a16="http://schemas.microsoft.com/office/drawing/2014/main" id="{BFE6027D-B29B-E4A8-9A39-F084ADBFCACF}"/>
            </a:ext>
          </a:extLst>
        </xdr:cNvPr>
        <xdr:cNvSpPr>
          <a:spLocks noChangeArrowheads="1"/>
        </xdr:cNvSpPr>
      </xdr:nvSpPr>
      <xdr:spPr bwMode="auto">
        <a:xfrm>
          <a:off x="14439900" y="8686038"/>
          <a:ext cx="3613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112</xdr:col>
      <xdr:colOff>88898</xdr:colOff>
      <xdr:row>55</xdr:row>
      <xdr:rowOff>0</xdr:rowOff>
    </xdr:from>
    <xdr:ext cx="792333" cy="133370"/>
    <xdr:sp macro="" textlink="">
      <xdr:nvSpPr>
        <xdr:cNvPr id="6586" name="RectangleComment_C7">
          <a:extLst>
            <a:ext uri="{FF2B5EF4-FFF2-40B4-BE49-F238E27FC236}">
              <a16:creationId xmlns:a16="http://schemas.microsoft.com/office/drawing/2014/main" id="{2AE88048-1D83-5201-4A73-C352787ACAF8}"/>
            </a:ext>
          </a:extLst>
        </xdr:cNvPr>
        <xdr:cNvSpPr txBox="1"/>
      </xdr:nvSpPr>
      <xdr:spPr>
        <a:xfrm>
          <a:off x="14719298" y="85629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基本設計を書いた</a:t>
          </a:r>
        </a:p>
      </xdr:txBody>
    </xdr:sp>
    <xdr:clientData/>
  </xdr:oneCellAnchor>
  <xdr:twoCellAnchor editAs="oneCell">
    <xdr:from>
      <xdr:col>96</xdr:col>
      <xdr:colOff>95249</xdr:colOff>
      <xdr:row>56</xdr:row>
      <xdr:rowOff>21717</xdr:rowOff>
    </xdr:from>
    <xdr:to>
      <xdr:col>112</xdr:col>
      <xdr:colOff>88899</xdr:colOff>
      <xdr:row>56</xdr:row>
      <xdr:rowOff>94107</xdr:rowOff>
    </xdr:to>
    <xdr:sp macro="" textlink="">
      <xdr:nvSpPr>
        <xdr:cNvPr id="6587" name="Rectangle_C8" descr="右上がり対角線 (太)">
          <a:extLst>
            <a:ext uri="{FF2B5EF4-FFF2-40B4-BE49-F238E27FC236}">
              <a16:creationId xmlns:a16="http://schemas.microsoft.com/office/drawing/2014/main" id="{516E7108-16F9-B9CE-E5AF-FD5DA901D4C7}"/>
            </a:ext>
          </a:extLst>
        </xdr:cNvPr>
        <xdr:cNvSpPr>
          <a:spLocks noChangeArrowheads="1"/>
        </xdr:cNvSpPr>
      </xdr:nvSpPr>
      <xdr:spPr bwMode="auto">
        <a:xfrm>
          <a:off x="13201649" y="8765667"/>
          <a:ext cx="1517650" cy="7239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110</xdr:col>
      <xdr:colOff>0</xdr:colOff>
      <xdr:row>56</xdr:row>
      <xdr:rowOff>94107</xdr:rowOff>
    </xdr:from>
    <xdr:to>
      <xdr:col>147</xdr:col>
      <xdr:colOff>88900</xdr:colOff>
      <xdr:row>56</xdr:row>
      <xdr:rowOff>166497</xdr:rowOff>
    </xdr:to>
    <xdr:sp macro="" textlink="">
      <xdr:nvSpPr>
        <xdr:cNvPr id="16388" name="ResultRectangle_C8">
          <a:extLst>
            <a:ext uri="{FF2B5EF4-FFF2-40B4-BE49-F238E27FC236}">
              <a16:creationId xmlns:a16="http://schemas.microsoft.com/office/drawing/2014/main" id="{9B5638F8-CEDE-0AB6-9969-BFD0F1923937}"/>
            </a:ext>
          </a:extLst>
        </xdr:cNvPr>
        <xdr:cNvSpPr>
          <a:spLocks noChangeArrowheads="1"/>
        </xdr:cNvSpPr>
      </xdr:nvSpPr>
      <xdr:spPr bwMode="auto">
        <a:xfrm>
          <a:off x="14439900" y="8838057"/>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110</xdr:col>
      <xdr:colOff>0</xdr:colOff>
      <xdr:row>56</xdr:row>
      <xdr:rowOff>123063</xdr:rowOff>
    </xdr:from>
    <xdr:to>
      <xdr:col>147</xdr:col>
      <xdr:colOff>88900</xdr:colOff>
      <xdr:row>56</xdr:row>
      <xdr:rowOff>166497</xdr:rowOff>
    </xdr:to>
    <xdr:sp macro="" textlink="">
      <xdr:nvSpPr>
        <xdr:cNvPr id="16389" name="ProgressC8">
          <a:extLst>
            <a:ext uri="{FF2B5EF4-FFF2-40B4-BE49-F238E27FC236}">
              <a16:creationId xmlns:a16="http://schemas.microsoft.com/office/drawing/2014/main" id="{6CEF8E8C-1A72-8EDF-C6AA-90FC96203BFE}"/>
            </a:ext>
          </a:extLst>
        </xdr:cNvPr>
        <xdr:cNvSpPr>
          <a:spLocks noChangeArrowheads="1"/>
        </xdr:cNvSpPr>
      </xdr:nvSpPr>
      <xdr:spPr bwMode="auto">
        <a:xfrm>
          <a:off x="14439900" y="8867013"/>
          <a:ext cx="3613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112</xdr:col>
      <xdr:colOff>88898</xdr:colOff>
      <xdr:row>56</xdr:row>
      <xdr:rowOff>0</xdr:rowOff>
    </xdr:from>
    <xdr:ext cx="792333" cy="133370"/>
    <xdr:sp macro="" textlink="">
      <xdr:nvSpPr>
        <xdr:cNvPr id="16390" name="RectangleComment_C8">
          <a:extLst>
            <a:ext uri="{FF2B5EF4-FFF2-40B4-BE49-F238E27FC236}">
              <a16:creationId xmlns:a16="http://schemas.microsoft.com/office/drawing/2014/main" id="{DC8B6768-6EE0-4CAF-250A-C1610E4B47D8}"/>
            </a:ext>
          </a:extLst>
        </xdr:cNvPr>
        <xdr:cNvSpPr txBox="1"/>
      </xdr:nvSpPr>
      <xdr:spPr>
        <a:xfrm>
          <a:off x="14719298" y="8743950"/>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基本設計を書いた</a:t>
          </a:r>
        </a:p>
      </xdr:txBody>
    </xdr:sp>
    <xdr:clientData/>
  </xdr:oneCellAnchor>
  <xdr:twoCellAnchor editAs="oneCell">
    <xdr:from>
      <xdr:col>106</xdr:col>
      <xdr:colOff>95249</xdr:colOff>
      <xdr:row>57</xdr:row>
      <xdr:rowOff>21717</xdr:rowOff>
    </xdr:from>
    <xdr:to>
      <xdr:col>116</xdr:col>
      <xdr:colOff>88899</xdr:colOff>
      <xdr:row>57</xdr:row>
      <xdr:rowOff>94107</xdr:rowOff>
    </xdr:to>
    <xdr:sp macro="" textlink="">
      <xdr:nvSpPr>
        <xdr:cNvPr id="16398" name="Rectangle_C9" descr="右上がり対角線 (太)">
          <a:extLst>
            <a:ext uri="{FF2B5EF4-FFF2-40B4-BE49-F238E27FC236}">
              <a16:creationId xmlns:a16="http://schemas.microsoft.com/office/drawing/2014/main" id="{70F02AFD-BA9E-C65F-115C-B5A93FA3B79B}"/>
            </a:ext>
          </a:extLst>
        </xdr:cNvPr>
        <xdr:cNvSpPr>
          <a:spLocks noChangeArrowheads="1"/>
        </xdr:cNvSpPr>
      </xdr:nvSpPr>
      <xdr:spPr bwMode="auto">
        <a:xfrm>
          <a:off x="14154149" y="8946642"/>
          <a:ext cx="946150" cy="72390"/>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107</xdr:col>
      <xdr:colOff>0</xdr:colOff>
      <xdr:row>57</xdr:row>
      <xdr:rowOff>94107</xdr:rowOff>
    </xdr:from>
    <xdr:to>
      <xdr:col>116</xdr:col>
      <xdr:colOff>88900</xdr:colOff>
      <xdr:row>57</xdr:row>
      <xdr:rowOff>166497</xdr:rowOff>
    </xdr:to>
    <xdr:sp macro="" textlink="">
      <xdr:nvSpPr>
        <xdr:cNvPr id="16399" name="ResultRectangle_C9">
          <a:extLst>
            <a:ext uri="{FF2B5EF4-FFF2-40B4-BE49-F238E27FC236}">
              <a16:creationId xmlns:a16="http://schemas.microsoft.com/office/drawing/2014/main" id="{B46630DD-230F-0423-EF8F-B7E963030FC7}"/>
            </a:ext>
          </a:extLst>
        </xdr:cNvPr>
        <xdr:cNvSpPr>
          <a:spLocks noChangeArrowheads="1"/>
        </xdr:cNvSpPr>
      </xdr:nvSpPr>
      <xdr:spPr bwMode="auto">
        <a:xfrm>
          <a:off x="14154150" y="9019032"/>
          <a:ext cx="946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107</xdr:col>
      <xdr:colOff>0</xdr:colOff>
      <xdr:row>57</xdr:row>
      <xdr:rowOff>123063</xdr:rowOff>
    </xdr:from>
    <xdr:to>
      <xdr:col>114</xdr:col>
      <xdr:colOff>90170</xdr:colOff>
      <xdr:row>57</xdr:row>
      <xdr:rowOff>166497</xdr:rowOff>
    </xdr:to>
    <xdr:sp macro="" textlink="">
      <xdr:nvSpPr>
        <xdr:cNvPr id="16400" name="ProgressC9">
          <a:extLst>
            <a:ext uri="{FF2B5EF4-FFF2-40B4-BE49-F238E27FC236}">
              <a16:creationId xmlns:a16="http://schemas.microsoft.com/office/drawing/2014/main" id="{95F1A508-5157-9363-0796-D349DB5FD523}"/>
            </a:ext>
          </a:extLst>
        </xdr:cNvPr>
        <xdr:cNvSpPr>
          <a:spLocks noChangeArrowheads="1"/>
        </xdr:cNvSpPr>
      </xdr:nvSpPr>
      <xdr:spPr bwMode="auto">
        <a:xfrm>
          <a:off x="14154150" y="9047988"/>
          <a:ext cx="75692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116</xdr:col>
      <xdr:colOff>88898</xdr:colOff>
      <xdr:row>57</xdr:row>
      <xdr:rowOff>0</xdr:rowOff>
    </xdr:from>
    <xdr:ext cx="718145" cy="133370"/>
    <xdr:sp macro="" textlink="">
      <xdr:nvSpPr>
        <xdr:cNvPr id="16401" name="RectangleComment_C9">
          <a:extLst>
            <a:ext uri="{FF2B5EF4-FFF2-40B4-BE49-F238E27FC236}">
              <a16:creationId xmlns:a16="http://schemas.microsoft.com/office/drawing/2014/main" id="{EAEAAD76-5528-6D24-12F3-246960221F86}"/>
            </a:ext>
          </a:extLst>
        </xdr:cNvPr>
        <xdr:cNvSpPr txBox="1"/>
      </xdr:nvSpPr>
      <xdr:spPr>
        <a:xfrm>
          <a:off x="15100298" y="8924925"/>
          <a:ext cx="718145"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基本設計の修正</a:t>
          </a:r>
        </a:p>
      </xdr:txBody>
    </xdr:sp>
    <xdr:clientData/>
  </xdr:oneCellAnchor>
  <xdr:twoCellAnchor editAs="oneCell">
    <xdr:from>
      <xdr:col>106</xdr:col>
      <xdr:colOff>95249</xdr:colOff>
      <xdr:row>58</xdr:row>
      <xdr:rowOff>21717</xdr:rowOff>
    </xdr:from>
    <xdr:to>
      <xdr:col>116</xdr:col>
      <xdr:colOff>88899</xdr:colOff>
      <xdr:row>58</xdr:row>
      <xdr:rowOff>94107</xdr:rowOff>
    </xdr:to>
    <xdr:sp macro="" textlink="">
      <xdr:nvSpPr>
        <xdr:cNvPr id="16402" name="Rectangle_C10" descr="右上がり対角線 (太)">
          <a:extLst>
            <a:ext uri="{FF2B5EF4-FFF2-40B4-BE49-F238E27FC236}">
              <a16:creationId xmlns:a16="http://schemas.microsoft.com/office/drawing/2014/main" id="{31B52F65-D991-8855-C1DF-C29B56FA2E90}"/>
            </a:ext>
          </a:extLst>
        </xdr:cNvPr>
        <xdr:cNvSpPr>
          <a:spLocks noChangeArrowheads="1"/>
        </xdr:cNvSpPr>
      </xdr:nvSpPr>
      <xdr:spPr bwMode="auto">
        <a:xfrm>
          <a:off x="14154149" y="9127617"/>
          <a:ext cx="946150" cy="72390"/>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107</xdr:col>
      <xdr:colOff>0</xdr:colOff>
      <xdr:row>58</xdr:row>
      <xdr:rowOff>94107</xdr:rowOff>
    </xdr:from>
    <xdr:to>
      <xdr:col>116</xdr:col>
      <xdr:colOff>88900</xdr:colOff>
      <xdr:row>58</xdr:row>
      <xdr:rowOff>166497</xdr:rowOff>
    </xdr:to>
    <xdr:sp macro="" textlink="">
      <xdr:nvSpPr>
        <xdr:cNvPr id="16403" name="ResultRectangle_C10">
          <a:extLst>
            <a:ext uri="{FF2B5EF4-FFF2-40B4-BE49-F238E27FC236}">
              <a16:creationId xmlns:a16="http://schemas.microsoft.com/office/drawing/2014/main" id="{14E646A4-7620-50CD-921D-1AC0E2FC2CC7}"/>
            </a:ext>
          </a:extLst>
        </xdr:cNvPr>
        <xdr:cNvSpPr>
          <a:spLocks noChangeArrowheads="1"/>
        </xdr:cNvSpPr>
      </xdr:nvSpPr>
      <xdr:spPr bwMode="auto">
        <a:xfrm>
          <a:off x="14154150" y="9200007"/>
          <a:ext cx="946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107</xdr:col>
      <xdr:colOff>0</xdr:colOff>
      <xdr:row>58</xdr:row>
      <xdr:rowOff>123063</xdr:rowOff>
    </xdr:from>
    <xdr:to>
      <xdr:col>114</xdr:col>
      <xdr:colOff>90170</xdr:colOff>
      <xdr:row>58</xdr:row>
      <xdr:rowOff>166497</xdr:rowOff>
    </xdr:to>
    <xdr:sp macro="" textlink="">
      <xdr:nvSpPr>
        <xdr:cNvPr id="16404" name="ProgressC10">
          <a:extLst>
            <a:ext uri="{FF2B5EF4-FFF2-40B4-BE49-F238E27FC236}">
              <a16:creationId xmlns:a16="http://schemas.microsoft.com/office/drawing/2014/main" id="{2139060A-8C83-59BF-494B-E87AC670D659}"/>
            </a:ext>
          </a:extLst>
        </xdr:cNvPr>
        <xdr:cNvSpPr>
          <a:spLocks noChangeArrowheads="1"/>
        </xdr:cNvSpPr>
      </xdr:nvSpPr>
      <xdr:spPr bwMode="auto">
        <a:xfrm>
          <a:off x="14154150" y="9228963"/>
          <a:ext cx="75692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116</xdr:col>
      <xdr:colOff>88898</xdr:colOff>
      <xdr:row>58</xdr:row>
      <xdr:rowOff>0</xdr:rowOff>
    </xdr:from>
    <xdr:ext cx="718145" cy="133370"/>
    <xdr:sp macro="" textlink="">
      <xdr:nvSpPr>
        <xdr:cNvPr id="16405" name="RectangleComment_C10">
          <a:extLst>
            <a:ext uri="{FF2B5EF4-FFF2-40B4-BE49-F238E27FC236}">
              <a16:creationId xmlns:a16="http://schemas.microsoft.com/office/drawing/2014/main" id="{72C8829C-1674-84F7-DE28-AC5994F9ACD3}"/>
            </a:ext>
          </a:extLst>
        </xdr:cNvPr>
        <xdr:cNvSpPr txBox="1"/>
      </xdr:nvSpPr>
      <xdr:spPr>
        <a:xfrm>
          <a:off x="15100298" y="9105900"/>
          <a:ext cx="718145"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基本設計の修正</a:t>
          </a:r>
        </a:p>
      </xdr:txBody>
    </xdr:sp>
    <xdr:clientData/>
  </xdr:oneCellAnchor>
  <xdr:twoCellAnchor editAs="oneCell">
    <xdr:from>
      <xdr:col>156</xdr:col>
      <xdr:colOff>95249</xdr:colOff>
      <xdr:row>61</xdr:row>
      <xdr:rowOff>21717</xdr:rowOff>
    </xdr:from>
    <xdr:to>
      <xdr:col>199</xdr:col>
      <xdr:colOff>88899</xdr:colOff>
      <xdr:row>61</xdr:row>
      <xdr:rowOff>94107</xdr:rowOff>
    </xdr:to>
    <xdr:sp macro="" textlink="">
      <xdr:nvSpPr>
        <xdr:cNvPr id="16425" name="Rectangle_D2" descr="右上がり対角線 (太)">
          <a:extLst>
            <a:ext uri="{FF2B5EF4-FFF2-40B4-BE49-F238E27FC236}">
              <a16:creationId xmlns:a16="http://schemas.microsoft.com/office/drawing/2014/main" id="{75C66AF9-ADEE-0AE5-240B-1E017675684C}"/>
            </a:ext>
          </a:extLst>
        </xdr:cNvPr>
        <xdr:cNvSpPr>
          <a:spLocks noChangeArrowheads="1"/>
        </xdr:cNvSpPr>
      </xdr:nvSpPr>
      <xdr:spPr bwMode="auto">
        <a:xfrm>
          <a:off x="18916649" y="9518142"/>
          <a:ext cx="4089400" cy="7239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167</xdr:col>
      <xdr:colOff>0</xdr:colOff>
      <xdr:row>61</xdr:row>
      <xdr:rowOff>94107</xdr:rowOff>
    </xdr:from>
    <xdr:to>
      <xdr:col>235</xdr:col>
      <xdr:colOff>88900</xdr:colOff>
      <xdr:row>61</xdr:row>
      <xdr:rowOff>166497</xdr:rowOff>
    </xdr:to>
    <xdr:sp macro="" textlink="">
      <xdr:nvSpPr>
        <xdr:cNvPr id="16426" name="ResultRectangle_D2">
          <a:extLst>
            <a:ext uri="{FF2B5EF4-FFF2-40B4-BE49-F238E27FC236}">
              <a16:creationId xmlns:a16="http://schemas.microsoft.com/office/drawing/2014/main" id="{BF6E8F98-CE56-0386-C23B-2EA160A8F39B}"/>
            </a:ext>
          </a:extLst>
        </xdr:cNvPr>
        <xdr:cNvSpPr>
          <a:spLocks noChangeArrowheads="1"/>
        </xdr:cNvSpPr>
      </xdr:nvSpPr>
      <xdr:spPr bwMode="auto">
        <a:xfrm>
          <a:off x="19869150" y="9590532"/>
          <a:ext cx="656590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oneCellAnchor>
    <xdr:from>
      <xdr:col>199</xdr:col>
      <xdr:colOff>88898</xdr:colOff>
      <xdr:row>61</xdr:row>
      <xdr:rowOff>0</xdr:rowOff>
    </xdr:from>
    <xdr:ext cx="563488" cy="133370"/>
    <xdr:sp macro="" textlink="">
      <xdr:nvSpPr>
        <xdr:cNvPr id="16427" name="RectangleComment_D2">
          <a:extLst>
            <a:ext uri="{FF2B5EF4-FFF2-40B4-BE49-F238E27FC236}">
              <a16:creationId xmlns:a16="http://schemas.microsoft.com/office/drawing/2014/main" id="{113F0459-54ED-66C0-10C9-07C7698EA7D9}"/>
            </a:ext>
          </a:extLst>
        </xdr:cNvPr>
        <xdr:cNvSpPr txBox="1"/>
      </xdr:nvSpPr>
      <xdr:spPr>
        <a:xfrm>
          <a:off x="23006048" y="9496425"/>
          <a:ext cx="56348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スタイル実装</a:t>
          </a:r>
        </a:p>
      </xdr:txBody>
    </xdr:sp>
    <xdr:clientData/>
  </xdr:oneCellAnchor>
  <xdr:twoCellAnchor editAs="oneCell">
    <xdr:from>
      <xdr:col>156</xdr:col>
      <xdr:colOff>95249</xdr:colOff>
      <xdr:row>60</xdr:row>
      <xdr:rowOff>21717</xdr:rowOff>
    </xdr:from>
    <xdr:to>
      <xdr:col>199</xdr:col>
      <xdr:colOff>88899</xdr:colOff>
      <xdr:row>60</xdr:row>
      <xdr:rowOff>94107</xdr:rowOff>
    </xdr:to>
    <xdr:sp macro="" textlink="">
      <xdr:nvSpPr>
        <xdr:cNvPr id="16431" name="Rectangle_D1" descr="右上がり対角線 (太)">
          <a:extLst>
            <a:ext uri="{FF2B5EF4-FFF2-40B4-BE49-F238E27FC236}">
              <a16:creationId xmlns:a16="http://schemas.microsoft.com/office/drawing/2014/main" id="{E7A70238-EEDF-6A08-DE18-6BB599515C8A}"/>
            </a:ext>
          </a:extLst>
        </xdr:cNvPr>
        <xdr:cNvSpPr>
          <a:spLocks noChangeArrowheads="1"/>
        </xdr:cNvSpPr>
      </xdr:nvSpPr>
      <xdr:spPr bwMode="auto">
        <a:xfrm>
          <a:off x="18916649" y="9337167"/>
          <a:ext cx="4089400" cy="7239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176</xdr:col>
      <xdr:colOff>0</xdr:colOff>
      <xdr:row>60</xdr:row>
      <xdr:rowOff>94107</xdr:rowOff>
    </xdr:from>
    <xdr:to>
      <xdr:col>235</xdr:col>
      <xdr:colOff>88900</xdr:colOff>
      <xdr:row>60</xdr:row>
      <xdr:rowOff>166497</xdr:rowOff>
    </xdr:to>
    <xdr:sp macro="" textlink="">
      <xdr:nvSpPr>
        <xdr:cNvPr id="16432" name="ResultRectangle_D1">
          <a:extLst>
            <a:ext uri="{FF2B5EF4-FFF2-40B4-BE49-F238E27FC236}">
              <a16:creationId xmlns:a16="http://schemas.microsoft.com/office/drawing/2014/main" id="{B1FD1DAD-CD46-DDA6-77CC-66ECB049141F}"/>
            </a:ext>
          </a:extLst>
        </xdr:cNvPr>
        <xdr:cNvSpPr>
          <a:spLocks noChangeArrowheads="1"/>
        </xdr:cNvSpPr>
      </xdr:nvSpPr>
      <xdr:spPr bwMode="auto">
        <a:xfrm>
          <a:off x="20726400" y="9409557"/>
          <a:ext cx="57086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oneCellAnchor>
    <xdr:from>
      <xdr:col>199</xdr:col>
      <xdr:colOff>88898</xdr:colOff>
      <xdr:row>60</xdr:row>
      <xdr:rowOff>0</xdr:rowOff>
    </xdr:from>
    <xdr:ext cx="563488" cy="133370"/>
    <xdr:sp macro="" textlink="">
      <xdr:nvSpPr>
        <xdr:cNvPr id="16433" name="RectangleComment_D1">
          <a:extLst>
            <a:ext uri="{FF2B5EF4-FFF2-40B4-BE49-F238E27FC236}">
              <a16:creationId xmlns:a16="http://schemas.microsoft.com/office/drawing/2014/main" id="{E07B0311-327E-5097-21F6-BB35E9976FC0}"/>
            </a:ext>
          </a:extLst>
        </xdr:cNvPr>
        <xdr:cNvSpPr txBox="1"/>
      </xdr:nvSpPr>
      <xdr:spPr>
        <a:xfrm>
          <a:off x="23006048" y="9315450"/>
          <a:ext cx="56348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スタイル実装</a:t>
          </a:r>
        </a:p>
      </xdr:txBody>
    </xdr:sp>
    <xdr:clientData/>
  </xdr:oneCellAnchor>
  <xdr:twoCellAnchor editAs="oneCell">
    <xdr:from>
      <xdr:col>140</xdr:col>
      <xdr:colOff>0</xdr:colOff>
      <xdr:row>25</xdr:row>
      <xdr:rowOff>21717</xdr:rowOff>
    </xdr:from>
    <xdr:to>
      <xdr:col>163</xdr:col>
      <xdr:colOff>88900</xdr:colOff>
      <xdr:row>25</xdr:row>
      <xdr:rowOff>94107</xdr:rowOff>
    </xdr:to>
    <xdr:sp macro="" textlink="">
      <xdr:nvSpPr>
        <xdr:cNvPr id="3024" name="Rectangle_A12">
          <a:extLst>
            <a:ext uri="{FF2B5EF4-FFF2-40B4-BE49-F238E27FC236}">
              <a16:creationId xmlns:a16="http://schemas.microsoft.com/office/drawing/2014/main" id="{407CBBBF-1FCB-0755-88B0-5F97DBA8497B}"/>
            </a:ext>
          </a:extLst>
        </xdr:cNvPr>
        <xdr:cNvSpPr>
          <a:spLocks noChangeArrowheads="1"/>
        </xdr:cNvSpPr>
      </xdr:nvSpPr>
      <xdr:spPr bwMode="auto">
        <a:xfrm>
          <a:off x="17297400" y="354596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157</xdr:col>
      <xdr:colOff>0</xdr:colOff>
      <xdr:row>25</xdr:row>
      <xdr:rowOff>94107</xdr:rowOff>
    </xdr:from>
    <xdr:to>
      <xdr:col>178</xdr:col>
      <xdr:colOff>88900</xdr:colOff>
      <xdr:row>25</xdr:row>
      <xdr:rowOff>166497</xdr:rowOff>
    </xdr:to>
    <xdr:sp macro="" textlink="">
      <xdr:nvSpPr>
        <xdr:cNvPr id="3025" name="ResultRectangle_A12">
          <a:extLst>
            <a:ext uri="{FF2B5EF4-FFF2-40B4-BE49-F238E27FC236}">
              <a16:creationId xmlns:a16="http://schemas.microsoft.com/office/drawing/2014/main" id="{B11153FB-C101-60EA-3D99-CC775A28C1ED}"/>
            </a:ext>
          </a:extLst>
        </xdr:cNvPr>
        <xdr:cNvSpPr>
          <a:spLocks noChangeArrowheads="1"/>
        </xdr:cNvSpPr>
      </xdr:nvSpPr>
      <xdr:spPr bwMode="auto">
        <a:xfrm>
          <a:off x="18916650" y="3618357"/>
          <a:ext cx="2089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157</xdr:col>
      <xdr:colOff>0</xdr:colOff>
      <xdr:row>25</xdr:row>
      <xdr:rowOff>123063</xdr:rowOff>
    </xdr:from>
    <xdr:to>
      <xdr:col>176</xdr:col>
      <xdr:colOff>70485</xdr:colOff>
      <xdr:row>25</xdr:row>
      <xdr:rowOff>166497</xdr:rowOff>
    </xdr:to>
    <xdr:sp macro="" textlink="">
      <xdr:nvSpPr>
        <xdr:cNvPr id="3026" name="ProgressA12">
          <a:extLst>
            <a:ext uri="{FF2B5EF4-FFF2-40B4-BE49-F238E27FC236}">
              <a16:creationId xmlns:a16="http://schemas.microsoft.com/office/drawing/2014/main" id="{3C68C49A-D3D4-1D9F-CB36-9571ADE1FBA4}"/>
            </a:ext>
          </a:extLst>
        </xdr:cNvPr>
        <xdr:cNvSpPr>
          <a:spLocks noChangeArrowheads="1"/>
        </xdr:cNvSpPr>
      </xdr:nvSpPr>
      <xdr:spPr bwMode="auto">
        <a:xfrm>
          <a:off x="18916650" y="3647313"/>
          <a:ext cx="1880235"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163</xdr:col>
      <xdr:colOff>88900</xdr:colOff>
      <xdr:row>25</xdr:row>
      <xdr:rowOff>0</xdr:rowOff>
    </xdr:from>
    <xdr:ext cx="831318" cy="133370"/>
    <xdr:sp macro="" textlink="">
      <xdr:nvSpPr>
        <xdr:cNvPr id="3027" name="RectangleComment_A12">
          <a:extLst>
            <a:ext uri="{FF2B5EF4-FFF2-40B4-BE49-F238E27FC236}">
              <a16:creationId xmlns:a16="http://schemas.microsoft.com/office/drawing/2014/main" id="{64D4181D-59D6-E7D9-1371-481DA7C76A0E}"/>
            </a:ext>
          </a:extLst>
        </xdr:cNvPr>
        <xdr:cNvSpPr txBox="1"/>
      </xdr:nvSpPr>
      <xdr:spPr>
        <a:xfrm>
          <a:off x="19577050" y="3524250"/>
          <a:ext cx="8313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a:t>
          </a:r>
        </a:p>
      </xdr:txBody>
    </xdr:sp>
    <xdr:clientData/>
  </xdr:oneCellAnchor>
  <xdr:twoCellAnchor editAs="oneCell">
    <xdr:from>
      <xdr:col>139</xdr:col>
      <xdr:colOff>95249</xdr:colOff>
      <xdr:row>71</xdr:row>
      <xdr:rowOff>21717</xdr:rowOff>
    </xdr:from>
    <xdr:to>
      <xdr:col>160</xdr:col>
      <xdr:colOff>88899</xdr:colOff>
      <xdr:row>71</xdr:row>
      <xdr:rowOff>94107</xdr:rowOff>
    </xdr:to>
    <xdr:sp macro="" textlink="">
      <xdr:nvSpPr>
        <xdr:cNvPr id="284" name="Rectangle_E1" descr="右上がり対角線 (太)">
          <a:extLst>
            <a:ext uri="{FF2B5EF4-FFF2-40B4-BE49-F238E27FC236}">
              <a16:creationId xmlns:a16="http://schemas.microsoft.com/office/drawing/2014/main" id="{67E1804D-1A0D-D5D1-8077-546F00D2A49A}"/>
            </a:ext>
          </a:extLst>
        </xdr:cNvPr>
        <xdr:cNvSpPr>
          <a:spLocks noChangeArrowheads="1"/>
        </xdr:cNvSpPr>
      </xdr:nvSpPr>
      <xdr:spPr bwMode="auto">
        <a:xfrm>
          <a:off x="17297399" y="11175492"/>
          <a:ext cx="1993900" cy="72390"/>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157</xdr:col>
      <xdr:colOff>0</xdr:colOff>
      <xdr:row>71</xdr:row>
      <xdr:rowOff>94107</xdr:rowOff>
    </xdr:from>
    <xdr:to>
      <xdr:col>178</xdr:col>
      <xdr:colOff>88900</xdr:colOff>
      <xdr:row>71</xdr:row>
      <xdr:rowOff>166497</xdr:rowOff>
    </xdr:to>
    <xdr:sp macro="" textlink="">
      <xdr:nvSpPr>
        <xdr:cNvPr id="285" name="ResultRectangle_E1">
          <a:extLst>
            <a:ext uri="{FF2B5EF4-FFF2-40B4-BE49-F238E27FC236}">
              <a16:creationId xmlns:a16="http://schemas.microsoft.com/office/drawing/2014/main" id="{59B67624-250C-B184-136E-5ABD1BA9898D}"/>
            </a:ext>
          </a:extLst>
        </xdr:cNvPr>
        <xdr:cNvSpPr>
          <a:spLocks noChangeArrowheads="1"/>
        </xdr:cNvSpPr>
      </xdr:nvSpPr>
      <xdr:spPr bwMode="auto">
        <a:xfrm>
          <a:off x="18916650" y="11247882"/>
          <a:ext cx="2089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157</xdr:col>
      <xdr:colOff>0</xdr:colOff>
      <xdr:row>71</xdr:row>
      <xdr:rowOff>123063</xdr:rowOff>
    </xdr:from>
    <xdr:to>
      <xdr:col>176</xdr:col>
      <xdr:colOff>70485</xdr:colOff>
      <xdr:row>71</xdr:row>
      <xdr:rowOff>166497</xdr:rowOff>
    </xdr:to>
    <xdr:sp macro="" textlink="">
      <xdr:nvSpPr>
        <xdr:cNvPr id="286" name="ProgressE1">
          <a:extLst>
            <a:ext uri="{FF2B5EF4-FFF2-40B4-BE49-F238E27FC236}">
              <a16:creationId xmlns:a16="http://schemas.microsoft.com/office/drawing/2014/main" id="{67FEEC01-D8BE-CACE-F3DA-F957C5C4ECB0}"/>
            </a:ext>
          </a:extLst>
        </xdr:cNvPr>
        <xdr:cNvSpPr>
          <a:spLocks noChangeArrowheads="1"/>
        </xdr:cNvSpPr>
      </xdr:nvSpPr>
      <xdr:spPr bwMode="auto">
        <a:xfrm>
          <a:off x="18916650" y="11276838"/>
          <a:ext cx="1880235"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160</xdr:col>
      <xdr:colOff>88900</xdr:colOff>
      <xdr:row>71</xdr:row>
      <xdr:rowOff>0</xdr:rowOff>
    </xdr:from>
    <xdr:ext cx="1124282" cy="133370"/>
    <xdr:sp macro="" textlink="">
      <xdr:nvSpPr>
        <xdr:cNvPr id="287" name="RectangleComment_E1">
          <a:extLst>
            <a:ext uri="{FF2B5EF4-FFF2-40B4-BE49-F238E27FC236}">
              <a16:creationId xmlns:a16="http://schemas.microsoft.com/office/drawing/2014/main" id="{799453EB-3B35-16F1-6E43-0B7F63A990F8}"/>
            </a:ext>
          </a:extLst>
        </xdr:cNvPr>
        <xdr:cNvSpPr txBox="1"/>
      </xdr:nvSpPr>
      <xdr:spPr>
        <a:xfrm>
          <a:off x="19291300" y="11153775"/>
          <a:ext cx="112428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システムテスト設計を作成</a:t>
          </a:r>
        </a:p>
      </xdr:txBody>
    </xdr:sp>
    <xdr:clientData/>
  </xdr:oneCellAnchor>
  <xdr:twoCellAnchor editAs="oneCell">
    <xdr:from>
      <xdr:col>139</xdr:col>
      <xdr:colOff>95249</xdr:colOff>
      <xdr:row>72</xdr:row>
      <xdr:rowOff>21717</xdr:rowOff>
    </xdr:from>
    <xdr:to>
      <xdr:col>160</xdr:col>
      <xdr:colOff>88899</xdr:colOff>
      <xdr:row>72</xdr:row>
      <xdr:rowOff>94107</xdr:rowOff>
    </xdr:to>
    <xdr:sp macro="" textlink="">
      <xdr:nvSpPr>
        <xdr:cNvPr id="288" name="Rectangle_E2" descr="右上がり対角線 (太)">
          <a:extLst>
            <a:ext uri="{FF2B5EF4-FFF2-40B4-BE49-F238E27FC236}">
              <a16:creationId xmlns:a16="http://schemas.microsoft.com/office/drawing/2014/main" id="{99BAAC60-F470-7AF2-E5FC-4F4F4D622FCC}"/>
            </a:ext>
          </a:extLst>
        </xdr:cNvPr>
        <xdr:cNvSpPr>
          <a:spLocks noChangeArrowheads="1"/>
        </xdr:cNvSpPr>
      </xdr:nvSpPr>
      <xdr:spPr bwMode="auto">
        <a:xfrm>
          <a:off x="17297399" y="11356467"/>
          <a:ext cx="1993900" cy="72390"/>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140</xdr:col>
      <xdr:colOff>0</xdr:colOff>
      <xdr:row>72</xdr:row>
      <xdr:rowOff>94107</xdr:rowOff>
    </xdr:from>
    <xdr:to>
      <xdr:col>160</xdr:col>
      <xdr:colOff>88900</xdr:colOff>
      <xdr:row>72</xdr:row>
      <xdr:rowOff>166497</xdr:rowOff>
    </xdr:to>
    <xdr:sp macro="" textlink="">
      <xdr:nvSpPr>
        <xdr:cNvPr id="289" name="ResultRectangle_E2">
          <a:extLst>
            <a:ext uri="{FF2B5EF4-FFF2-40B4-BE49-F238E27FC236}">
              <a16:creationId xmlns:a16="http://schemas.microsoft.com/office/drawing/2014/main" id="{E7C3F233-BCD3-C292-B416-F6D2A4669146}"/>
            </a:ext>
          </a:extLst>
        </xdr:cNvPr>
        <xdr:cNvSpPr>
          <a:spLocks noChangeArrowheads="1"/>
        </xdr:cNvSpPr>
      </xdr:nvSpPr>
      <xdr:spPr bwMode="auto">
        <a:xfrm>
          <a:off x="17297400" y="11428857"/>
          <a:ext cx="199390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140</xdr:col>
      <xdr:colOff>0</xdr:colOff>
      <xdr:row>72</xdr:row>
      <xdr:rowOff>123063</xdr:rowOff>
    </xdr:from>
    <xdr:to>
      <xdr:col>158</xdr:col>
      <xdr:colOff>80010</xdr:colOff>
      <xdr:row>72</xdr:row>
      <xdr:rowOff>166497</xdr:rowOff>
    </xdr:to>
    <xdr:sp macro="" textlink="">
      <xdr:nvSpPr>
        <xdr:cNvPr id="290" name="ProgressE2">
          <a:extLst>
            <a:ext uri="{FF2B5EF4-FFF2-40B4-BE49-F238E27FC236}">
              <a16:creationId xmlns:a16="http://schemas.microsoft.com/office/drawing/2014/main" id="{E6D581A1-F9DF-F48C-51BB-4B190FBDB53B}"/>
            </a:ext>
          </a:extLst>
        </xdr:cNvPr>
        <xdr:cNvSpPr>
          <a:spLocks noChangeArrowheads="1"/>
        </xdr:cNvSpPr>
      </xdr:nvSpPr>
      <xdr:spPr bwMode="auto">
        <a:xfrm>
          <a:off x="17297400" y="11457813"/>
          <a:ext cx="179451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160</xdr:col>
      <xdr:colOff>88900</xdr:colOff>
      <xdr:row>72</xdr:row>
      <xdr:rowOff>0</xdr:rowOff>
    </xdr:from>
    <xdr:ext cx="1124282" cy="133370"/>
    <xdr:sp macro="" textlink="">
      <xdr:nvSpPr>
        <xdr:cNvPr id="291" name="RectangleComment_E2">
          <a:extLst>
            <a:ext uri="{FF2B5EF4-FFF2-40B4-BE49-F238E27FC236}">
              <a16:creationId xmlns:a16="http://schemas.microsoft.com/office/drawing/2014/main" id="{F3EC766E-955F-377B-FDF8-CFAA2C49DD47}"/>
            </a:ext>
          </a:extLst>
        </xdr:cNvPr>
        <xdr:cNvSpPr txBox="1"/>
      </xdr:nvSpPr>
      <xdr:spPr>
        <a:xfrm>
          <a:off x="19291300" y="11334750"/>
          <a:ext cx="112428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システムテスト設計を作成</a:t>
          </a:r>
        </a:p>
      </xdr:txBody>
    </xdr:sp>
    <xdr:clientData/>
  </xdr:oneCellAnchor>
  <xdr:twoCellAnchor editAs="oneCell">
    <xdr:from>
      <xdr:col>139</xdr:col>
      <xdr:colOff>95249</xdr:colOff>
      <xdr:row>73</xdr:row>
      <xdr:rowOff>21717</xdr:rowOff>
    </xdr:from>
    <xdr:to>
      <xdr:col>160</xdr:col>
      <xdr:colOff>88899</xdr:colOff>
      <xdr:row>73</xdr:row>
      <xdr:rowOff>94107</xdr:rowOff>
    </xdr:to>
    <xdr:sp macro="" textlink="">
      <xdr:nvSpPr>
        <xdr:cNvPr id="292" name="Rectangle_E3" descr="右上がり対角線 (太)">
          <a:extLst>
            <a:ext uri="{FF2B5EF4-FFF2-40B4-BE49-F238E27FC236}">
              <a16:creationId xmlns:a16="http://schemas.microsoft.com/office/drawing/2014/main" id="{6E061D06-D65E-348D-7C0D-16C45C8BAF48}"/>
            </a:ext>
          </a:extLst>
        </xdr:cNvPr>
        <xdr:cNvSpPr>
          <a:spLocks noChangeArrowheads="1"/>
        </xdr:cNvSpPr>
      </xdr:nvSpPr>
      <xdr:spPr bwMode="auto">
        <a:xfrm>
          <a:off x="17297399" y="11537442"/>
          <a:ext cx="1993900" cy="72390"/>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140</xdr:col>
      <xdr:colOff>0</xdr:colOff>
      <xdr:row>73</xdr:row>
      <xdr:rowOff>94107</xdr:rowOff>
    </xdr:from>
    <xdr:to>
      <xdr:col>160</xdr:col>
      <xdr:colOff>88900</xdr:colOff>
      <xdr:row>73</xdr:row>
      <xdr:rowOff>166497</xdr:rowOff>
    </xdr:to>
    <xdr:sp macro="" textlink="">
      <xdr:nvSpPr>
        <xdr:cNvPr id="293" name="ResultRectangle_E3">
          <a:extLst>
            <a:ext uri="{FF2B5EF4-FFF2-40B4-BE49-F238E27FC236}">
              <a16:creationId xmlns:a16="http://schemas.microsoft.com/office/drawing/2014/main" id="{4748198B-8D16-7555-D275-CD89984AAB5B}"/>
            </a:ext>
          </a:extLst>
        </xdr:cNvPr>
        <xdr:cNvSpPr>
          <a:spLocks noChangeArrowheads="1"/>
        </xdr:cNvSpPr>
      </xdr:nvSpPr>
      <xdr:spPr bwMode="auto">
        <a:xfrm>
          <a:off x="17297400" y="11609832"/>
          <a:ext cx="199390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140</xdr:col>
      <xdr:colOff>0</xdr:colOff>
      <xdr:row>73</xdr:row>
      <xdr:rowOff>123063</xdr:rowOff>
    </xdr:from>
    <xdr:to>
      <xdr:col>158</xdr:col>
      <xdr:colOff>80010</xdr:colOff>
      <xdr:row>73</xdr:row>
      <xdr:rowOff>166497</xdr:rowOff>
    </xdr:to>
    <xdr:sp macro="" textlink="">
      <xdr:nvSpPr>
        <xdr:cNvPr id="294" name="ProgressE3">
          <a:extLst>
            <a:ext uri="{FF2B5EF4-FFF2-40B4-BE49-F238E27FC236}">
              <a16:creationId xmlns:a16="http://schemas.microsoft.com/office/drawing/2014/main" id="{F418FC29-3A4B-CFB5-9145-79A82B5AB0CA}"/>
            </a:ext>
          </a:extLst>
        </xdr:cNvPr>
        <xdr:cNvSpPr>
          <a:spLocks noChangeArrowheads="1"/>
        </xdr:cNvSpPr>
      </xdr:nvSpPr>
      <xdr:spPr bwMode="auto">
        <a:xfrm>
          <a:off x="17297400" y="11638788"/>
          <a:ext cx="179451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160</xdr:col>
      <xdr:colOff>88900</xdr:colOff>
      <xdr:row>73</xdr:row>
      <xdr:rowOff>0</xdr:rowOff>
    </xdr:from>
    <xdr:ext cx="1124282" cy="133370"/>
    <xdr:sp macro="" textlink="">
      <xdr:nvSpPr>
        <xdr:cNvPr id="295" name="RectangleComment_E3">
          <a:extLst>
            <a:ext uri="{FF2B5EF4-FFF2-40B4-BE49-F238E27FC236}">
              <a16:creationId xmlns:a16="http://schemas.microsoft.com/office/drawing/2014/main" id="{7E4C18CC-8B91-465A-0382-56A30AD2DE93}"/>
            </a:ext>
          </a:extLst>
        </xdr:cNvPr>
        <xdr:cNvSpPr txBox="1"/>
      </xdr:nvSpPr>
      <xdr:spPr>
        <a:xfrm>
          <a:off x="19291300" y="11515725"/>
          <a:ext cx="112428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システムテスト設計を作成</a:t>
          </a:r>
        </a:p>
      </xdr:txBody>
    </xdr:sp>
    <xdr:clientData/>
  </xdr:oneCellAnchor>
  <xdr:twoCellAnchor editAs="oneCell">
    <xdr:from>
      <xdr:col>138</xdr:col>
      <xdr:colOff>0</xdr:colOff>
      <xdr:row>24</xdr:row>
      <xdr:rowOff>21717</xdr:rowOff>
    </xdr:from>
    <xdr:to>
      <xdr:col>180</xdr:col>
      <xdr:colOff>88900</xdr:colOff>
      <xdr:row>24</xdr:row>
      <xdr:rowOff>94107</xdr:rowOff>
    </xdr:to>
    <xdr:sp macro="" textlink="">
      <xdr:nvSpPr>
        <xdr:cNvPr id="299" name="Rectangle_A11">
          <a:extLst>
            <a:ext uri="{FF2B5EF4-FFF2-40B4-BE49-F238E27FC236}">
              <a16:creationId xmlns:a16="http://schemas.microsoft.com/office/drawing/2014/main" id="{779C1CAE-A472-9258-ED6E-07A0FCA95C60}"/>
            </a:ext>
          </a:extLst>
        </xdr:cNvPr>
        <xdr:cNvSpPr>
          <a:spLocks noChangeArrowheads="1"/>
        </xdr:cNvSpPr>
      </xdr:nvSpPr>
      <xdr:spPr bwMode="auto">
        <a:xfrm>
          <a:off x="17106900" y="3364992"/>
          <a:ext cx="408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168</xdr:col>
      <xdr:colOff>0</xdr:colOff>
      <xdr:row>24</xdr:row>
      <xdr:rowOff>94107</xdr:rowOff>
    </xdr:from>
    <xdr:to>
      <xdr:col>188</xdr:col>
      <xdr:colOff>88900</xdr:colOff>
      <xdr:row>24</xdr:row>
      <xdr:rowOff>166497</xdr:rowOff>
    </xdr:to>
    <xdr:sp macro="" textlink="">
      <xdr:nvSpPr>
        <xdr:cNvPr id="300" name="ResultRectangle_A11">
          <a:extLst>
            <a:ext uri="{FF2B5EF4-FFF2-40B4-BE49-F238E27FC236}">
              <a16:creationId xmlns:a16="http://schemas.microsoft.com/office/drawing/2014/main" id="{2C77D426-2CE4-B862-E18E-F76F8DD6A8DF}"/>
            </a:ext>
          </a:extLst>
        </xdr:cNvPr>
        <xdr:cNvSpPr>
          <a:spLocks noChangeArrowheads="1"/>
        </xdr:cNvSpPr>
      </xdr:nvSpPr>
      <xdr:spPr bwMode="auto">
        <a:xfrm>
          <a:off x="19964400" y="3437382"/>
          <a:ext cx="199390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168</xdr:col>
      <xdr:colOff>1</xdr:colOff>
      <xdr:row>24</xdr:row>
      <xdr:rowOff>123063</xdr:rowOff>
    </xdr:from>
    <xdr:to>
      <xdr:col>169</xdr:col>
      <xdr:colOff>4446</xdr:colOff>
      <xdr:row>24</xdr:row>
      <xdr:rowOff>166497</xdr:rowOff>
    </xdr:to>
    <xdr:sp macro="" textlink="">
      <xdr:nvSpPr>
        <xdr:cNvPr id="301" name="ProgressA11">
          <a:extLst>
            <a:ext uri="{FF2B5EF4-FFF2-40B4-BE49-F238E27FC236}">
              <a16:creationId xmlns:a16="http://schemas.microsoft.com/office/drawing/2014/main" id="{094586EB-8A37-CA18-520F-2CB115AF5A70}"/>
            </a:ext>
          </a:extLst>
        </xdr:cNvPr>
        <xdr:cNvSpPr>
          <a:spLocks noChangeArrowheads="1"/>
        </xdr:cNvSpPr>
      </xdr:nvSpPr>
      <xdr:spPr bwMode="auto">
        <a:xfrm>
          <a:off x="19964401" y="3466338"/>
          <a:ext cx="99695"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180</xdr:col>
      <xdr:colOff>88900</xdr:colOff>
      <xdr:row>24</xdr:row>
      <xdr:rowOff>0</xdr:rowOff>
    </xdr:from>
    <xdr:ext cx="205184" cy="133370"/>
    <xdr:sp macro="" textlink="">
      <xdr:nvSpPr>
        <xdr:cNvPr id="302" name="RectangleComment_A11">
          <a:extLst>
            <a:ext uri="{FF2B5EF4-FFF2-40B4-BE49-F238E27FC236}">
              <a16:creationId xmlns:a16="http://schemas.microsoft.com/office/drawing/2014/main" id="{D828B848-343D-B9A3-2BA3-887569EDD3B2}"/>
            </a:ext>
          </a:extLst>
        </xdr:cNvPr>
        <xdr:cNvSpPr txBox="1"/>
      </xdr:nvSpPr>
      <xdr:spPr>
        <a:xfrm>
          <a:off x="21196300" y="33432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実装</a:t>
          </a:r>
        </a:p>
      </xdr:txBody>
    </xdr:sp>
    <xdr:clientData/>
  </xdr:oneCellAnchor>
  <xdr:twoCellAnchor editAs="oneCell">
    <xdr:from>
      <xdr:col>100</xdr:col>
      <xdr:colOff>0</xdr:colOff>
      <xdr:row>21</xdr:row>
      <xdr:rowOff>19431</xdr:rowOff>
    </xdr:from>
    <xdr:to>
      <xdr:col>101</xdr:col>
      <xdr:colOff>88900</xdr:colOff>
      <xdr:row>21</xdr:row>
      <xdr:rowOff>84201</xdr:rowOff>
    </xdr:to>
    <xdr:sp macro="" textlink="">
      <xdr:nvSpPr>
        <xdr:cNvPr id="305" name="Rectangle_A8">
          <a:extLst>
            <a:ext uri="{FF2B5EF4-FFF2-40B4-BE49-F238E27FC236}">
              <a16:creationId xmlns:a16="http://schemas.microsoft.com/office/drawing/2014/main" id="{BC8CE2AE-E47F-95B9-2BF3-341B115BCBF2}"/>
            </a:ext>
          </a:extLst>
        </xdr:cNvPr>
        <xdr:cNvSpPr>
          <a:spLocks noChangeArrowheads="1"/>
        </xdr:cNvSpPr>
      </xdr:nvSpPr>
      <xdr:spPr bwMode="auto">
        <a:xfrm>
          <a:off x="13487400" y="2848356"/>
          <a:ext cx="184150" cy="6477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122</xdr:col>
      <xdr:colOff>0</xdr:colOff>
      <xdr:row>21</xdr:row>
      <xdr:rowOff>84201</xdr:rowOff>
    </xdr:from>
    <xdr:to>
      <xdr:col>128</xdr:col>
      <xdr:colOff>88900</xdr:colOff>
      <xdr:row>21</xdr:row>
      <xdr:rowOff>148971</xdr:rowOff>
    </xdr:to>
    <xdr:sp macro="" textlink="">
      <xdr:nvSpPr>
        <xdr:cNvPr id="306" name="ResultRectangle_A8">
          <a:extLst>
            <a:ext uri="{FF2B5EF4-FFF2-40B4-BE49-F238E27FC236}">
              <a16:creationId xmlns:a16="http://schemas.microsoft.com/office/drawing/2014/main" id="{9D9BF898-5B76-B845-6D75-1DADB5398472}"/>
            </a:ext>
          </a:extLst>
        </xdr:cNvPr>
        <xdr:cNvSpPr>
          <a:spLocks noChangeArrowheads="1"/>
        </xdr:cNvSpPr>
      </xdr:nvSpPr>
      <xdr:spPr bwMode="auto">
        <a:xfrm>
          <a:off x="15582900" y="2913126"/>
          <a:ext cx="660400" cy="6477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122</xdr:col>
      <xdr:colOff>0</xdr:colOff>
      <xdr:row>21</xdr:row>
      <xdr:rowOff>110109</xdr:rowOff>
    </xdr:from>
    <xdr:to>
      <xdr:col>128</xdr:col>
      <xdr:colOff>88900</xdr:colOff>
      <xdr:row>21</xdr:row>
      <xdr:rowOff>148971</xdr:rowOff>
    </xdr:to>
    <xdr:sp macro="" textlink="">
      <xdr:nvSpPr>
        <xdr:cNvPr id="307" name="ProgressA8">
          <a:extLst>
            <a:ext uri="{FF2B5EF4-FFF2-40B4-BE49-F238E27FC236}">
              <a16:creationId xmlns:a16="http://schemas.microsoft.com/office/drawing/2014/main" id="{99A8E62B-9AC0-EABD-D515-62C80B7CAC27}"/>
            </a:ext>
          </a:extLst>
        </xdr:cNvPr>
        <xdr:cNvSpPr>
          <a:spLocks noChangeArrowheads="1"/>
        </xdr:cNvSpPr>
      </xdr:nvSpPr>
      <xdr:spPr bwMode="auto">
        <a:xfrm>
          <a:off x="15582900" y="2939034"/>
          <a:ext cx="660400" cy="38862"/>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101</xdr:col>
      <xdr:colOff>88900</xdr:colOff>
      <xdr:row>21</xdr:row>
      <xdr:rowOff>0</xdr:rowOff>
    </xdr:from>
    <xdr:ext cx="1087670" cy="133370"/>
    <xdr:sp macro="" textlink="">
      <xdr:nvSpPr>
        <xdr:cNvPr id="308" name="RectangleComment_A8">
          <a:extLst>
            <a:ext uri="{FF2B5EF4-FFF2-40B4-BE49-F238E27FC236}">
              <a16:creationId xmlns:a16="http://schemas.microsoft.com/office/drawing/2014/main" id="{800B5975-17FC-45BB-0671-B885D11BA3B1}"/>
            </a:ext>
          </a:extLst>
        </xdr:cNvPr>
        <xdr:cNvSpPr txBox="1"/>
      </xdr:nvSpPr>
      <xdr:spPr>
        <a:xfrm>
          <a:off x="13671550" y="28289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117</xdr:col>
      <xdr:colOff>0</xdr:colOff>
      <xdr:row>22</xdr:row>
      <xdr:rowOff>20574</xdr:rowOff>
    </xdr:from>
    <xdr:to>
      <xdr:col>121</xdr:col>
      <xdr:colOff>88900</xdr:colOff>
      <xdr:row>22</xdr:row>
      <xdr:rowOff>89154</xdr:rowOff>
    </xdr:to>
    <xdr:sp macro="" textlink="">
      <xdr:nvSpPr>
        <xdr:cNvPr id="311" name="Rectangle_A9">
          <a:extLst>
            <a:ext uri="{FF2B5EF4-FFF2-40B4-BE49-F238E27FC236}">
              <a16:creationId xmlns:a16="http://schemas.microsoft.com/office/drawing/2014/main" id="{8516C22F-6F81-D6F0-ACC9-20B345F500CE}"/>
            </a:ext>
          </a:extLst>
        </xdr:cNvPr>
        <xdr:cNvSpPr>
          <a:spLocks noChangeArrowheads="1"/>
        </xdr:cNvSpPr>
      </xdr:nvSpPr>
      <xdr:spPr bwMode="auto">
        <a:xfrm>
          <a:off x="15106650" y="3011424"/>
          <a:ext cx="46990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150</xdr:col>
      <xdr:colOff>0</xdr:colOff>
      <xdr:row>22</xdr:row>
      <xdr:rowOff>89154</xdr:rowOff>
    </xdr:from>
    <xdr:to>
      <xdr:col>155</xdr:col>
      <xdr:colOff>88900</xdr:colOff>
      <xdr:row>22</xdr:row>
      <xdr:rowOff>157734</xdr:rowOff>
    </xdr:to>
    <xdr:sp macro="" textlink="">
      <xdr:nvSpPr>
        <xdr:cNvPr id="312" name="ResultRectangle_A9">
          <a:extLst>
            <a:ext uri="{FF2B5EF4-FFF2-40B4-BE49-F238E27FC236}">
              <a16:creationId xmlns:a16="http://schemas.microsoft.com/office/drawing/2014/main" id="{ECC05ECC-7F54-15AE-43EE-9B9A936755EE}"/>
            </a:ext>
          </a:extLst>
        </xdr:cNvPr>
        <xdr:cNvSpPr>
          <a:spLocks noChangeArrowheads="1"/>
        </xdr:cNvSpPr>
      </xdr:nvSpPr>
      <xdr:spPr bwMode="auto">
        <a:xfrm>
          <a:off x="18249900" y="3080004"/>
          <a:ext cx="56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150</xdr:col>
      <xdr:colOff>0</xdr:colOff>
      <xdr:row>22</xdr:row>
      <xdr:rowOff>116586</xdr:rowOff>
    </xdr:from>
    <xdr:to>
      <xdr:col>155</xdr:col>
      <xdr:colOff>88900</xdr:colOff>
      <xdr:row>22</xdr:row>
      <xdr:rowOff>157734</xdr:rowOff>
    </xdr:to>
    <xdr:sp macro="" textlink="">
      <xdr:nvSpPr>
        <xdr:cNvPr id="313" name="ProgressA9">
          <a:extLst>
            <a:ext uri="{FF2B5EF4-FFF2-40B4-BE49-F238E27FC236}">
              <a16:creationId xmlns:a16="http://schemas.microsoft.com/office/drawing/2014/main" id="{FF34ACEB-D946-F67F-93C3-0BB64C5B472D}"/>
            </a:ext>
          </a:extLst>
        </xdr:cNvPr>
        <xdr:cNvSpPr>
          <a:spLocks noChangeArrowheads="1"/>
        </xdr:cNvSpPr>
      </xdr:nvSpPr>
      <xdr:spPr bwMode="auto">
        <a:xfrm>
          <a:off x="18249900" y="3107436"/>
          <a:ext cx="56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121</xdr:col>
      <xdr:colOff>88900</xdr:colOff>
      <xdr:row>22</xdr:row>
      <xdr:rowOff>0</xdr:rowOff>
    </xdr:from>
    <xdr:ext cx="1087670" cy="133370"/>
    <xdr:sp macro="" textlink="">
      <xdr:nvSpPr>
        <xdr:cNvPr id="314" name="RectangleComment_A9">
          <a:extLst>
            <a:ext uri="{FF2B5EF4-FFF2-40B4-BE49-F238E27FC236}">
              <a16:creationId xmlns:a16="http://schemas.microsoft.com/office/drawing/2014/main" id="{208DC06E-FC3F-9DDF-A8C3-7213C7A354D5}"/>
            </a:ext>
          </a:extLst>
        </xdr:cNvPr>
        <xdr:cNvSpPr txBox="1"/>
      </xdr:nvSpPr>
      <xdr:spPr>
        <a:xfrm>
          <a:off x="15576550" y="2990850"/>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87</xdr:col>
      <xdr:colOff>0</xdr:colOff>
      <xdr:row>20</xdr:row>
      <xdr:rowOff>20574</xdr:rowOff>
    </xdr:from>
    <xdr:to>
      <xdr:col>120</xdr:col>
      <xdr:colOff>88900</xdr:colOff>
      <xdr:row>20</xdr:row>
      <xdr:rowOff>89154</xdr:rowOff>
    </xdr:to>
    <xdr:sp macro="" textlink="">
      <xdr:nvSpPr>
        <xdr:cNvPr id="17859" name="Rectangle_A7">
          <a:extLst>
            <a:ext uri="{FF2B5EF4-FFF2-40B4-BE49-F238E27FC236}">
              <a16:creationId xmlns:a16="http://schemas.microsoft.com/office/drawing/2014/main" id="{2EA34602-034F-2156-BF15-B83F016D8A01}"/>
            </a:ext>
          </a:extLst>
        </xdr:cNvPr>
        <xdr:cNvSpPr>
          <a:spLocks noChangeArrowheads="1"/>
        </xdr:cNvSpPr>
      </xdr:nvSpPr>
      <xdr:spPr bwMode="auto">
        <a:xfrm>
          <a:off x="12249150" y="2678049"/>
          <a:ext cx="3232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110</xdr:col>
      <xdr:colOff>0</xdr:colOff>
      <xdr:row>20</xdr:row>
      <xdr:rowOff>89154</xdr:rowOff>
    </xdr:from>
    <xdr:to>
      <xdr:col>142</xdr:col>
      <xdr:colOff>88900</xdr:colOff>
      <xdr:row>20</xdr:row>
      <xdr:rowOff>157734</xdr:rowOff>
    </xdr:to>
    <xdr:sp macro="" textlink="">
      <xdr:nvSpPr>
        <xdr:cNvPr id="17860" name="ResultRectangle_A7">
          <a:extLst>
            <a:ext uri="{FF2B5EF4-FFF2-40B4-BE49-F238E27FC236}">
              <a16:creationId xmlns:a16="http://schemas.microsoft.com/office/drawing/2014/main" id="{D9D54BEB-3AFA-7D09-5F52-85BD1F06DFE1}"/>
            </a:ext>
          </a:extLst>
        </xdr:cNvPr>
        <xdr:cNvSpPr>
          <a:spLocks noChangeArrowheads="1"/>
        </xdr:cNvSpPr>
      </xdr:nvSpPr>
      <xdr:spPr bwMode="auto">
        <a:xfrm>
          <a:off x="14439900" y="2746629"/>
          <a:ext cx="31369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110</xdr:col>
      <xdr:colOff>0</xdr:colOff>
      <xdr:row>20</xdr:row>
      <xdr:rowOff>116586</xdr:rowOff>
    </xdr:from>
    <xdr:to>
      <xdr:col>136</xdr:col>
      <xdr:colOff>33020</xdr:colOff>
      <xdr:row>20</xdr:row>
      <xdr:rowOff>157734</xdr:rowOff>
    </xdr:to>
    <xdr:sp macro="" textlink="">
      <xdr:nvSpPr>
        <xdr:cNvPr id="17861" name="ProgressA7">
          <a:extLst>
            <a:ext uri="{FF2B5EF4-FFF2-40B4-BE49-F238E27FC236}">
              <a16:creationId xmlns:a16="http://schemas.microsoft.com/office/drawing/2014/main" id="{E1D9C330-9914-AC66-3694-B1ECC3B15161}"/>
            </a:ext>
          </a:extLst>
        </xdr:cNvPr>
        <xdr:cNvSpPr>
          <a:spLocks noChangeArrowheads="1"/>
        </xdr:cNvSpPr>
      </xdr:nvSpPr>
      <xdr:spPr bwMode="auto">
        <a:xfrm>
          <a:off x="14439900" y="2774061"/>
          <a:ext cx="250952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120</xdr:col>
      <xdr:colOff>88900</xdr:colOff>
      <xdr:row>20</xdr:row>
      <xdr:rowOff>0</xdr:rowOff>
    </xdr:from>
    <xdr:ext cx="410369" cy="133370"/>
    <xdr:sp macro="" textlink="">
      <xdr:nvSpPr>
        <xdr:cNvPr id="17862" name="RectangleComment_A7">
          <a:extLst>
            <a:ext uri="{FF2B5EF4-FFF2-40B4-BE49-F238E27FC236}">
              <a16:creationId xmlns:a16="http://schemas.microsoft.com/office/drawing/2014/main" id="{83114509-03D7-B0CB-AE9F-0FE6DAAEDF6A}"/>
            </a:ext>
          </a:extLst>
        </xdr:cNvPr>
        <xdr:cNvSpPr txBox="1"/>
      </xdr:nvSpPr>
      <xdr:spPr>
        <a:xfrm>
          <a:off x="15481300" y="26574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295275</xdr:colOff>
          <xdr:row>15</xdr:row>
          <xdr:rowOff>38100</xdr:rowOff>
        </xdr:from>
        <xdr:to>
          <xdr:col>26</xdr:col>
          <xdr:colOff>0</xdr:colOff>
          <xdr:row>21</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7.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P211"/>
  <sheetViews>
    <sheetView showGridLines="0" tabSelected="1" showOutlineSymbols="0" topLeftCell="A2" zoomScale="112" zoomScaleNormal="112" workbookViewId="0">
      <pane xSplit="16" ySplit="13" topLeftCell="AS35" activePane="bottomRight" state="frozenSplit"/>
      <selection activeCell="A2" sqref="A2"/>
      <selection pane="topRight" activeCell="L1" sqref="L1"/>
      <selection pane="bottomLeft" activeCell="A15" sqref="A15"/>
      <selection pane="bottomRight" activeCell="BJ48" sqref="BJ48"/>
    </sheetView>
  </sheetViews>
  <sheetFormatPr defaultRowHeight="13.5" outlineLevelRow="1" outlineLevelCol="1" x14ac:dyDescent="0.15"/>
  <cols>
    <col min="1" max="1" width="2.375" customWidth="1"/>
    <col min="2" max="2" width="3.25" customWidth="1"/>
    <col min="3" max="3" width="1.375" customWidth="1"/>
    <col min="4" max="4" width="13.875" customWidth="1"/>
    <col min="5" max="5" width="7.125" customWidth="1"/>
    <col min="6" max="6" width="5.125" customWidth="1"/>
    <col min="7" max="7" width="2.5" customWidth="1"/>
    <col min="8" max="8" width="3.125" customWidth="1"/>
    <col min="9" max="9" width="4.125" customWidth="1"/>
    <col min="10" max="10" width="3.5" customWidth="1"/>
    <col min="11" max="11" width="7.625" customWidth="1"/>
    <col min="12" max="12" width="5.125" customWidth="1"/>
    <col min="13" max="13" width="2.5" customWidth="1"/>
    <col min="14" max="14" width="3.125" customWidth="1"/>
    <col min="15" max="15" width="4.125" customWidth="1"/>
    <col min="16" max="16" width="3.75" customWidth="1"/>
    <col min="17" max="17" width="0.625" customWidth="1"/>
    <col min="18" max="238" width="1.25" customWidth="1"/>
    <col min="239" max="239" width="2.625" customWidth="1"/>
    <col min="240" max="240" width="1.5" hidden="1" customWidth="1" outlineLevel="1"/>
    <col min="241" max="241" width="2.875" hidden="1" customWidth="1" outlineLevel="1"/>
    <col min="242" max="242" width="2.25" hidden="1" customWidth="1" outlineLevel="1"/>
    <col min="243" max="243" width="8.375" hidden="1" customWidth="1" outlineLevel="1"/>
    <col min="244" max="244" width="12.625" hidden="1" customWidth="1" outlineLevel="1"/>
    <col min="245" max="245" width="3.625" hidden="1" customWidth="1" outlineLevel="1"/>
    <col min="246" max="246" width="1.5" hidden="1" customWidth="1" outlineLevel="1"/>
    <col min="247" max="247" width="9" hidden="1" customWidth="1" outlineLevel="1"/>
    <col min="248" max="248" width="5.75" hidden="1" customWidth="1" outlineLevel="1"/>
    <col min="249" max="249" width="10.875" hidden="1" customWidth="1" outlineLevel="1"/>
    <col min="250" max="250" width="5.75" customWidth="1" collapsed="1"/>
    <col min="251" max="251" width="2.75" customWidth="1"/>
    <col min="252" max="252" width="3.125" customWidth="1"/>
  </cols>
  <sheetData>
    <row r="1" spans="1:248" ht="14.25" customHeight="1" thickBot="1" x14ac:dyDescent="0.2">
      <c r="B1" s="10" t="s">
        <v>60</v>
      </c>
      <c r="C1" s="11"/>
      <c r="D1" s="12"/>
      <c r="E1" s="12"/>
      <c r="F1" s="12"/>
      <c r="G1" s="12"/>
      <c r="H1" s="12"/>
      <c r="I1" s="12"/>
      <c r="J1" s="12"/>
      <c r="K1" s="12"/>
      <c r="L1" s="13"/>
      <c r="M1" s="14"/>
      <c r="N1" s="14"/>
      <c r="O1" s="14"/>
    </row>
    <row r="2" spans="1:248" ht="12" customHeight="1" x14ac:dyDescent="0.15">
      <c r="A2" s="15"/>
      <c r="B2" s="177" t="s">
        <v>61</v>
      </c>
      <c r="C2" s="177"/>
      <c r="D2" s="177"/>
      <c r="E2" s="195"/>
      <c r="F2" s="196"/>
      <c r="G2" s="196"/>
      <c r="H2" s="196"/>
      <c r="I2" s="197"/>
      <c r="J2" s="177" t="s">
        <v>63</v>
      </c>
      <c r="K2" s="177"/>
      <c r="L2" s="177"/>
      <c r="M2" s="178" t="str">
        <f>TEXT(設定!B4,"mm/dd")&amp;"～"&amp;TEXT(設定!B14, "mm/dd")</f>
        <v>10/03～12/19</v>
      </c>
      <c r="N2" s="178"/>
      <c r="O2" s="178"/>
      <c r="P2" s="178"/>
      <c r="R2" s="202" t="s">
        <v>110</v>
      </c>
      <c r="S2" s="203"/>
      <c r="T2" s="203"/>
      <c r="U2" s="203"/>
      <c r="V2" s="203"/>
      <c r="W2" s="203"/>
      <c r="X2" s="203"/>
      <c r="Y2" s="203"/>
      <c r="Z2" s="203"/>
      <c r="AA2" s="203"/>
      <c r="AB2" s="203"/>
      <c r="AC2" s="204"/>
      <c r="AD2" s="190" t="s">
        <v>57</v>
      </c>
      <c r="AE2" s="190"/>
      <c r="AF2" s="190"/>
      <c r="AG2" s="190"/>
      <c r="AH2" s="190"/>
      <c r="AI2" s="190"/>
      <c r="AJ2" s="190"/>
      <c r="AK2" s="141"/>
      <c r="AL2" s="142" t="s">
        <v>116</v>
      </c>
      <c r="AM2" s="143"/>
      <c r="AN2" s="143"/>
      <c r="AO2" s="143"/>
      <c r="AP2" s="143"/>
      <c r="AQ2" s="143"/>
      <c r="AR2" s="143"/>
      <c r="AS2" s="143"/>
      <c r="AT2" s="143"/>
      <c r="AU2" s="143"/>
      <c r="AV2" s="143"/>
      <c r="AW2" s="143"/>
      <c r="AX2" s="144"/>
      <c r="AY2" s="190" t="s">
        <v>57</v>
      </c>
      <c r="AZ2" s="190"/>
      <c r="BA2" s="190"/>
      <c r="BB2" s="190"/>
      <c r="BC2" s="190"/>
      <c r="BD2" s="190"/>
      <c r="BE2" s="190"/>
      <c r="BF2" s="142" t="s">
        <v>116</v>
      </c>
      <c r="BG2" s="143"/>
      <c r="BH2" s="143"/>
      <c r="BI2" s="143"/>
      <c r="BJ2" s="143"/>
      <c r="BK2" s="143"/>
      <c r="BL2" s="143"/>
      <c r="BM2" s="143"/>
      <c r="BN2" s="143"/>
      <c r="BO2" s="143"/>
      <c r="BP2" s="143"/>
      <c r="BQ2" s="143"/>
      <c r="BR2" s="144"/>
      <c r="BS2" s="190" t="s">
        <v>57</v>
      </c>
      <c r="BT2" s="190"/>
      <c r="BU2" s="190"/>
      <c r="BV2" s="190"/>
      <c r="BW2" s="190"/>
      <c r="BX2" s="190"/>
      <c r="BY2" s="190"/>
      <c r="CA2" s="257"/>
      <c r="CB2" s="258"/>
      <c r="CC2" s="258"/>
      <c r="CD2" s="258"/>
      <c r="CE2" s="258"/>
      <c r="CF2" s="258"/>
      <c r="CG2" s="258"/>
      <c r="CH2" s="258"/>
      <c r="CI2" s="258"/>
      <c r="CJ2" s="259"/>
      <c r="CK2" s="190" t="s">
        <v>57</v>
      </c>
      <c r="CL2" s="190"/>
      <c r="CM2" s="190"/>
      <c r="CN2" s="190"/>
      <c r="CO2" s="190"/>
      <c r="CP2" s="190"/>
      <c r="CR2" s="260" t="s">
        <v>91</v>
      </c>
      <c r="CS2" s="260"/>
      <c r="CT2" s="260"/>
      <c r="CU2" s="260"/>
      <c r="CV2" s="260"/>
      <c r="CW2" s="260"/>
      <c r="CX2" s="260"/>
      <c r="CY2" s="260"/>
      <c r="CZ2" s="260"/>
      <c r="DA2" s="260"/>
      <c r="DB2" s="260"/>
      <c r="DC2" s="261" t="s">
        <v>70</v>
      </c>
      <c r="DD2" s="262"/>
      <c r="DE2" s="263"/>
      <c r="DF2" s="264" t="s">
        <v>35</v>
      </c>
      <c r="DG2" s="264"/>
      <c r="DH2" s="264"/>
      <c r="DT2" s="128" t="s">
        <v>64</v>
      </c>
      <c r="DU2" s="265" t="s">
        <v>65</v>
      </c>
      <c r="DV2" s="242"/>
      <c r="DW2" s="242"/>
      <c r="DX2" s="242"/>
      <c r="DY2" s="242"/>
      <c r="DZ2" s="242"/>
      <c r="EA2" s="266"/>
      <c r="EB2" s="241" t="s">
        <v>66</v>
      </c>
      <c r="EC2" s="242"/>
      <c r="ED2" s="242"/>
      <c r="EE2" s="242"/>
      <c r="EF2" s="242"/>
      <c r="EG2" s="242"/>
      <c r="EH2" s="243"/>
    </row>
    <row r="3" spans="1:248" ht="10.5" customHeight="1" x14ac:dyDescent="0.15">
      <c r="A3" s="15"/>
      <c r="B3" s="206" t="s">
        <v>62</v>
      </c>
      <c r="C3" s="206"/>
      <c r="D3" s="206"/>
      <c r="E3" s="198" t="s">
        <v>165</v>
      </c>
      <c r="F3" s="199"/>
      <c r="G3" s="199"/>
      <c r="H3" s="199"/>
      <c r="I3" s="200"/>
      <c r="J3" s="177" t="s">
        <v>108</v>
      </c>
      <c r="K3" s="177"/>
      <c r="L3" s="177"/>
      <c r="M3" s="179" t="s">
        <v>117</v>
      </c>
      <c r="N3" s="180"/>
      <c r="O3" s="180"/>
      <c r="P3" s="181"/>
      <c r="R3" s="193">
        <v>1</v>
      </c>
      <c r="S3" s="194"/>
      <c r="T3" s="182"/>
      <c r="U3" s="182"/>
      <c r="V3" s="182"/>
      <c r="W3" s="182"/>
      <c r="X3" s="182"/>
      <c r="Y3" s="182"/>
      <c r="Z3" s="182"/>
      <c r="AA3" s="182"/>
      <c r="AB3" s="182"/>
      <c r="AC3" s="182"/>
      <c r="AD3" s="191"/>
      <c r="AE3" s="191"/>
      <c r="AF3" s="191"/>
      <c r="AG3" s="191"/>
      <c r="AH3" s="191"/>
      <c r="AI3" s="191"/>
      <c r="AJ3" s="191"/>
      <c r="AL3" s="193" t="s">
        <v>66</v>
      </c>
      <c r="AM3" s="194"/>
      <c r="AN3" s="182" t="s">
        <v>181</v>
      </c>
      <c r="AO3" s="182"/>
      <c r="AP3" s="182"/>
      <c r="AQ3" s="182"/>
      <c r="AR3" s="182"/>
      <c r="AS3" s="182"/>
      <c r="AT3" s="182"/>
      <c r="AU3" s="182"/>
      <c r="AV3" s="182"/>
      <c r="AW3" s="182"/>
      <c r="AX3" s="182"/>
      <c r="AY3" s="191"/>
      <c r="AZ3" s="191"/>
      <c r="BA3" s="191"/>
      <c r="BB3" s="191"/>
      <c r="BC3" s="191"/>
      <c r="BD3" s="191"/>
      <c r="BE3" s="191"/>
      <c r="BF3" s="193">
        <v>4</v>
      </c>
      <c r="BG3" s="194"/>
      <c r="BH3" s="182" t="s">
        <v>185</v>
      </c>
      <c r="BI3" s="182"/>
      <c r="BJ3" s="182"/>
      <c r="BK3" s="182"/>
      <c r="BL3" s="182"/>
      <c r="BM3" s="182"/>
      <c r="BN3" s="182"/>
      <c r="BO3" s="182"/>
      <c r="BP3" s="182"/>
      <c r="BQ3" s="182"/>
      <c r="BR3" s="182"/>
      <c r="BS3" s="191"/>
      <c r="BT3" s="191"/>
      <c r="BU3" s="191"/>
      <c r="BV3" s="191"/>
      <c r="BW3" s="191"/>
      <c r="BX3" s="191"/>
      <c r="BY3" s="191"/>
      <c r="CA3" s="202" t="s">
        <v>69</v>
      </c>
      <c r="CB3" s="203"/>
      <c r="CC3" s="203"/>
      <c r="CD3" s="203"/>
      <c r="CE3" s="203"/>
      <c r="CF3" s="203"/>
      <c r="CG3" s="203"/>
      <c r="CH3" s="203"/>
      <c r="CI3" s="203"/>
      <c r="CJ3" s="204"/>
      <c r="CK3" s="191"/>
      <c r="CL3" s="191"/>
      <c r="CM3" s="191"/>
      <c r="CN3" s="191"/>
      <c r="CO3" s="191"/>
      <c r="CP3" s="191"/>
      <c r="CR3" s="145" t="s">
        <v>94</v>
      </c>
      <c r="CS3" s="240" t="s">
        <v>115</v>
      </c>
      <c r="CT3" s="240"/>
      <c r="CU3" s="240"/>
      <c r="CV3" s="240"/>
      <c r="CW3" s="240"/>
      <c r="CX3" s="240"/>
      <c r="CY3" s="240"/>
      <c r="CZ3" s="240"/>
      <c r="DA3" s="240"/>
      <c r="DB3" s="240"/>
      <c r="DC3" s="253">
        <f t="shared" ref="DC3:DC8" si="0">SUMIF($IH$15:$IH$92,CR3,$I$15:$I$92)</f>
        <v>2285</v>
      </c>
      <c r="DD3" s="254"/>
      <c r="DE3" s="254"/>
      <c r="DF3" s="255">
        <f t="shared" ref="DF3:DF8" si="1">SUMIF($IH$15:$IH$92,CR3,$IK$15:$IK$92)</f>
        <v>2780</v>
      </c>
      <c r="DG3" s="256"/>
      <c r="DH3" s="256"/>
      <c r="DT3" s="129"/>
      <c r="DU3" s="267"/>
      <c r="DV3" s="245"/>
      <c r="DW3" s="245"/>
      <c r="DX3" s="245"/>
      <c r="DY3" s="245"/>
      <c r="DZ3" s="245"/>
      <c r="EA3" s="268"/>
      <c r="EB3" s="244"/>
      <c r="EC3" s="245"/>
      <c r="ED3" s="245"/>
      <c r="EE3" s="245"/>
      <c r="EF3" s="245"/>
      <c r="EG3" s="245"/>
      <c r="EH3" s="246"/>
    </row>
    <row r="4" spans="1:248" ht="10.5" customHeight="1" x14ac:dyDescent="0.15">
      <c r="A4" s="151"/>
      <c r="B4" s="201"/>
      <c r="C4" s="201"/>
      <c r="D4" s="201"/>
      <c r="E4" s="205"/>
      <c r="F4" s="205"/>
      <c r="G4" s="205"/>
      <c r="H4" s="205"/>
      <c r="I4" s="205"/>
      <c r="M4" s="14"/>
      <c r="N4" s="14"/>
      <c r="O4" s="14"/>
      <c r="R4" s="193">
        <v>2</v>
      </c>
      <c r="S4" s="194"/>
      <c r="T4" s="182"/>
      <c r="U4" s="182"/>
      <c r="V4" s="182"/>
      <c r="W4" s="182"/>
      <c r="X4" s="182"/>
      <c r="Y4" s="182"/>
      <c r="Z4" s="182"/>
      <c r="AA4" s="182"/>
      <c r="AB4" s="182"/>
      <c r="AC4" s="182"/>
      <c r="AD4" s="191"/>
      <c r="AE4" s="191"/>
      <c r="AF4" s="191"/>
      <c r="AG4" s="191"/>
      <c r="AH4" s="191"/>
      <c r="AI4" s="191"/>
      <c r="AJ4" s="191"/>
      <c r="AL4" s="193">
        <v>1</v>
      </c>
      <c r="AM4" s="194"/>
      <c r="AN4" s="182" t="s">
        <v>183</v>
      </c>
      <c r="AO4" s="182"/>
      <c r="AP4" s="182"/>
      <c r="AQ4" s="182"/>
      <c r="AR4" s="182"/>
      <c r="AS4" s="182"/>
      <c r="AT4" s="182"/>
      <c r="AU4" s="182"/>
      <c r="AV4" s="182"/>
      <c r="AW4" s="182"/>
      <c r="AX4" s="182"/>
      <c r="AY4" s="191"/>
      <c r="AZ4" s="191"/>
      <c r="BA4" s="191"/>
      <c r="BB4" s="191"/>
      <c r="BC4" s="191"/>
      <c r="BD4" s="191"/>
      <c r="BE4" s="191"/>
      <c r="BF4" s="193">
        <v>5</v>
      </c>
      <c r="BG4" s="194"/>
      <c r="BH4" s="182" t="s">
        <v>191</v>
      </c>
      <c r="BI4" s="182"/>
      <c r="BJ4" s="182"/>
      <c r="BK4" s="182"/>
      <c r="BL4" s="182"/>
      <c r="BM4" s="182"/>
      <c r="BN4" s="182"/>
      <c r="BO4" s="182"/>
      <c r="BP4" s="182"/>
      <c r="BQ4" s="182"/>
      <c r="BR4" s="182"/>
      <c r="BS4" s="191"/>
      <c r="BT4" s="191"/>
      <c r="BU4" s="191"/>
      <c r="BV4" s="191"/>
      <c r="BW4" s="191"/>
      <c r="BX4" s="191"/>
      <c r="BY4" s="191"/>
      <c r="CA4" s="202" t="s">
        <v>36</v>
      </c>
      <c r="CB4" s="203"/>
      <c r="CC4" s="203"/>
      <c r="CD4" s="203"/>
      <c r="CE4" s="203"/>
      <c r="CF4" s="203"/>
      <c r="CG4" s="203"/>
      <c r="CH4" s="203"/>
      <c r="CI4" s="203"/>
      <c r="CJ4" s="204"/>
      <c r="CK4" s="191"/>
      <c r="CL4" s="191"/>
      <c r="CM4" s="191"/>
      <c r="CN4" s="191"/>
      <c r="CO4" s="191"/>
      <c r="CP4" s="191"/>
      <c r="CR4" s="145" t="s">
        <v>95</v>
      </c>
      <c r="CS4" s="240" t="s">
        <v>92</v>
      </c>
      <c r="CT4" s="240"/>
      <c r="CU4" s="240"/>
      <c r="CV4" s="240"/>
      <c r="CW4" s="240"/>
      <c r="CX4" s="240"/>
      <c r="CY4" s="240"/>
      <c r="CZ4" s="240"/>
      <c r="DA4" s="240"/>
      <c r="DB4" s="240"/>
      <c r="DC4" s="253">
        <f t="shared" si="0"/>
        <v>1810</v>
      </c>
      <c r="DD4" s="254"/>
      <c r="DE4" s="254"/>
      <c r="DF4" s="255">
        <f t="shared" si="1"/>
        <v>2085</v>
      </c>
      <c r="DG4" s="256"/>
      <c r="DH4" s="256"/>
      <c r="DT4" s="129" t="s">
        <v>67</v>
      </c>
      <c r="DU4" s="269"/>
      <c r="DV4" s="248"/>
      <c r="DW4" s="248"/>
      <c r="DX4" s="248"/>
      <c r="DY4" s="248"/>
      <c r="DZ4" s="248"/>
      <c r="EA4" s="270"/>
      <c r="EB4" s="247"/>
      <c r="EC4" s="248"/>
      <c r="ED4" s="248"/>
      <c r="EE4" s="248"/>
      <c r="EF4" s="248"/>
      <c r="EG4" s="248"/>
      <c r="EH4" s="249"/>
    </row>
    <row r="5" spans="1:248" ht="10.5" customHeight="1" x14ac:dyDescent="0.15">
      <c r="A5" s="14"/>
      <c r="B5" s="183"/>
      <c r="C5" s="183"/>
      <c r="D5" s="183"/>
      <c r="F5" s="152"/>
      <c r="G5" s="152"/>
      <c r="H5" s="152"/>
      <c r="I5" s="152"/>
      <c r="M5" s="14"/>
      <c r="N5" s="14"/>
      <c r="O5" s="14"/>
      <c r="R5" s="193">
        <v>3</v>
      </c>
      <c r="S5" s="194"/>
      <c r="T5" s="182"/>
      <c r="U5" s="182"/>
      <c r="V5" s="182"/>
      <c r="W5" s="182"/>
      <c r="X5" s="182"/>
      <c r="Y5" s="182"/>
      <c r="Z5" s="182"/>
      <c r="AA5" s="182"/>
      <c r="AB5" s="182"/>
      <c r="AC5" s="182"/>
      <c r="AD5" s="192"/>
      <c r="AE5" s="192"/>
      <c r="AF5" s="192"/>
      <c r="AG5" s="192"/>
      <c r="AH5" s="192"/>
      <c r="AI5" s="192"/>
      <c r="AJ5" s="192"/>
      <c r="AL5" s="193">
        <v>2</v>
      </c>
      <c r="AM5" s="194"/>
      <c r="AN5" s="182" t="s">
        <v>187</v>
      </c>
      <c r="AO5" s="182"/>
      <c r="AP5" s="182"/>
      <c r="AQ5" s="182"/>
      <c r="AR5" s="182"/>
      <c r="AS5" s="182"/>
      <c r="AT5" s="182"/>
      <c r="AU5" s="182"/>
      <c r="AV5" s="182"/>
      <c r="AW5" s="182"/>
      <c r="AX5" s="182"/>
      <c r="AY5" s="192"/>
      <c r="AZ5" s="192"/>
      <c r="BA5" s="192"/>
      <c r="BB5" s="192"/>
      <c r="BC5" s="192"/>
      <c r="BD5" s="192"/>
      <c r="BE5" s="192"/>
      <c r="BF5" s="193">
        <v>6</v>
      </c>
      <c r="BG5" s="194"/>
      <c r="BH5" s="182"/>
      <c r="BI5" s="182"/>
      <c r="BJ5" s="182"/>
      <c r="BK5" s="182"/>
      <c r="BL5" s="182"/>
      <c r="BM5" s="182"/>
      <c r="BN5" s="182"/>
      <c r="BO5" s="182"/>
      <c r="BP5" s="182"/>
      <c r="BQ5" s="182"/>
      <c r="BR5" s="182"/>
      <c r="BS5" s="192"/>
      <c r="BT5" s="192"/>
      <c r="BU5" s="192"/>
      <c r="BV5" s="192"/>
      <c r="BW5" s="192"/>
      <c r="BX5" s="192"/>
      <c r="BY5" s="192"/>
      <c r="CA5" s="202" t="s">
        <v>35</v>
      </c>
      <c r="CB5" s="203"/>
      <c r="CC5" s="203"/>
      <c r="CD5" s="203"/>
      <c r="CE5" s="203"/>
      <c r="CF5" s="203"/>
      <c r="CG5" s="203"/>
      <c r="CH5" s="203"/>
      <c r="CI5" s="203"/>
      <c r="CJ5" s="204"/>
      <c r="CK5" s="191"/>
      <c r="CL5" s="191"/>
      <c r="CM5" s="191"/>
      <c r="CN5" s="191"/>
      <c r="CO5" s="191"/>
      <c r="CP5" s="191"/>
      <c r="CR5" s="145" t="s">
        <v>96</v>
      </c>
      <c r="CS5" s="240" t="s">
        <v>74</v>
      </c>
      <c r="CT5" s="240"/>
      <c r="CU5" s="240"/>
      <c r="CV5" s="240"/>
      <c r="CW5" s="240"/>
      <c r="CX5" s="240"/>
      <c r="CY5" s="240"/>
      <c r="CZ5" s="240"/>
      <c r="DA5" s="240"/>
      <c r="DB5" s="240"/>
      <c r="DC5" s="253">
        <f t="shared" si="0"/>
        <v>1200</v>
      </c>
      <c r="DD5" s="254"/>
      <c r="DE5" s="254"/>
      <c r="DF5" s="255">
        <f t="shared" si="1"/>
        <v>2750</v>
      </c>
      <c r="DG5" s="256"/>
      <c r="DH5" s="256"/>
      <c r="DT5" s="129"/>
      <c r="DU5" s="269"/>
      <c r="DV5" s="248"/>
      <c r="DW5" s="248"/>
      <c r="DX5" s="248"/>
      <c r="DY5" s="248"/>
      <c r="DZ5" s="248"/>
      <c r="EA5" s="270"/>
      <c r="EB5" s="247"/>
      <c r="EC5" s="248"/>
      <c r="ED5" s="248"/>
      <c r="EE5" s="248"/>
      <c r="EF5" s="248"/>
      <c r="EG5" s="248"/>
      <c r="EH5" s="249"/>
    </row>
    <row r="6" spans="1:248" ht="10.5" customHeight="1" thickBot="1" x14ac:dyDescent="0.2">
      <c r="B6" s="14"/>
      <c r="C6" s="14"/>
      <c r="D6" s="14"/>
      <c r="E6" s="14"/>
      <c r="F6" s="14"/>
      <c r="G6" s="14"/>
      <c r="H6" s="14"/>
      <c r="I6" s="14"/>
      <c r="J6" s="14"/>
      <c r="K6" s="14"/>
      <c r="M6" s="14"/>
      <c r="N6" s="14"/>
      <c r="O6" s="14"/>
      <c r="AL6" s="193">
        <v>3</v>
      </c>
      <c r="AM6" s="194"/>
      <c r="AN6" s="182" t="s">
        <v>189</v>
      </c>
      <c r="AO6" s="182"/>
      <c r="AP6" s="182"/>
      <c r="AQ6" s="182"/>
      <c r="AR6" s="182"/>
      <c r="AS6" s="182"/>
      <c r="AT6" s="182"/>
      <c r="AU6" s="182"/>
      <c r="AV6" s="182"/>
      <c r="AW6" s="182"/>
      <c r="AX6" s="182"/>
      <c r="AY6" s="192"/>
      <c r="AZ6" s="192"/>
      <c r="BA6" s="192"/>
      <c r="BB6" s="192"/>
      <c r="BC6" s="192"/>
      <c r="BD6" s="192"/>
      <c r="BE6" s="192"/>
      <c r="BF6" s="193">
        <v>7</v>
      </c>
      <c r="BG6" s="194"/>
      <c r="BH6" s="182"/>
      <c r="BI6" s="182"/>
      <c r="BJ6" s="182"/>
      <c r="BK6" s="182"/>
      <c r="BL6" s="182"/>
      <c r="BM6" s="182"/>
      <c r="BN6" s="182"/>
      <c r="BO6" s="182"/>
      <c r="BP6" s="182"/>
      <c r="BQ6" s="182"/>
      <c r="BR6" s="182"/>
      <c r="BS6" s="192"/>
      <c r="BT6" s="192"/>
      <c r="BU6" s="192"/>
      <c r="BV6" s="192"/>
      <c r="BW6" s="192"/>
      <c r="BX6" s="192"/>
      <c r="BY6" s="192"/>
      <c r="CR6" s="145" t="s">
        <v>97</v>
      </c>
      <c r="CS6" s="240" t="s">
        <v>75</v>
      </c>
      <c r="CT6" s="240"/>
      <c r="CU6" s="240"/>
      <c r="CV6" s="240"/>
      <c r="CW6" s="240"/>
      <c r="CX6" s="240"/>
      <c r="CY6" s="240"/>
      <c r="CZ6" s="240"/>
      <c r="DA6" s="240"/>
      <c r="DB6" s="240"/>
      <c r="DC6" s="253">
        <f t="shared" si="0"/>
        <v>800</v>
      </c>
      <c r="DD6" s="254"/>
      <c r="DE6" s="254"/>
      <c r="DF6" s="255">
        <f t="shared" si="1"/>
        <v>800</v>
      </c>
      <c r="DG6" s="256"/>
      <c r="DH6" s="256"/>
      <c r="DT6" s="130" t="s">
        <v>68</v>
      </c>
      <c r="DU6" s="271"/>
      <c r="DV6" s="251"/>
      <c r="DW6" s="251"/>
      <c r="DX6" s="251"/>
      <c r="DY6" s="251"/>
      <c r="DZ6" s="251"/>
      <c r="EA6" s="272"/>
      <c r="EB6" s="250"/>
      <c r="EC6" s="251"/>
      <c r="ED6" s="251"/>
      <c r="EE6" s="251"/>
      <c r="EF6" s="251"/>
      <c r="EG6" s="251"/>
      <c r="EH6" s="252"/>
    </row>
    <row r="7" spans="1:248" ht="10.5" customHeight="1" x14ac:dyDescent="0.15">
      <c r="C7">
        <v>1</v>
      </c>
      <c r="E7" s="122"/>
      <c r="F7" s="123"/>
      <c r="CR7" s="145" t="s">
        <v>98</v>
      </c>
      <c r="CS7" s="240" t="s">
        <v>76</v>
      </c>
      <c r="CT7" s="240"/>
      <c r="CU7" s="240"/>
      <c r="CV7" s="240"/>
      <c r="CW7" s="240"/>
      <c r="CX7" s="240"/>
      <c r="CY7" s="240"/>
      <c r="CZ7" s="240"/>
      <c r="DA7" s="240"/>
      <c r="DB7" s="240"/>
      <c r="DC7" s="253">
        <f t="shared" si="0"/>
        <v>600</v>
      </c>
      <c r="DD7" s="254"/>
      <c r="DE7" s="254"/>
      <c r="DF7" s="255">
        <f t="shared" si="1"/>
        <v>600</v>
      </c>
      <c r="DG7" s="256"/>
      <c r="DH7" s="256"/>
    </row>
    <row r="8" spans="1:248" ht="10.5" customHeight="1" x14ac:dyDescent="0.15">
      <c r="K8" s="153"/>
      <c r="CR8" s="145" t="s">
        <v>99</v>
      </c>
      <c r="CS8" s="240" t="s">
        <v>93</v>
      </c>
      <c r="CT8" s="240"/>
      <c r="CU8" s="240"/>
      <c r="CV8" s="240"/>
      <c r="CW8" s="240"/>
      <c r="CX8" s="240"/>
      <c r="CY8" s="240"/>
      <c r="CZ8" s="240"/>
      <c r="DA8" s="240"/>
      <c r="DB8" s="240"/>
      <c r="DC8" s="253">
        <f t="shared" si="0"/>
        <v>0</v>
      </c>
      <c r="DD8" s="254"/>
      <c r="DE8" s="254"/>
      <c r="DF8" s="255">
        <f t="shared" si="1"/>
        <v>0</v>
      </c>
      <c r="DG8" s="256"/>
      <c r="DH8" s="256"/>
    </row>
    <row r="9" spans="1:248" ht="5.25" customHeight="1" x14ac:dyDescent="0.15"/>
    <row r="10" spans="1:248" ht="2.25" hidden="1" customHeight="1" thickBot="1" x14ac:dyDescent="0.2">
      <c r="F10" s="35"/>
      <c r="R10" s="207">
        <v>1</v>
      </c>
      <c r="S10" s="208"/>
      <c r="T10" s="208"/>
      <c r="U10" s="208"/>
      <c r="V10" s="208"/>
      <c r="W10" s="208"/>
      <c r="X10" s="208"/>
      <c r="Y10" s="208"/>
      <c r="Z10" s="208"/>
      <c r="AA10" s="208"/>
      <c r="AB10" s="208"/>
      <c r="AC10" s="208"/>
      <c r="AD10" s="208"/>
      <c r="AE10" s="208"/>
      <c r="AF10" s="208"/>
      <c r="AG10" s="208"/>
      <c r="AH10" s="208"/>
      <c r="AI10" s="208"/>
      <c r="AJ10" s="208"/>
      <c r="AK10" s="208"/>
      <c r="AL10" s="207">
        <f>R10+1</f>
        <v>2</v>
      </c>
      <c r="AM10" s="208"/>
      <c r="AN10" s="208"/>
      <c r="AO10" s="208"/>
      <c r="AP10" s="208"/>
      <c r="AQ10" s="208"/>
      <c r="AR10" s="208"/>
      <c r="AS10" s="208"/>
      <c r="AT10" s="208"/>
      <c r="AU10" s="208"/>
      <c r="AV10" s="208"/>
      <c r="AW10" s="208"/>
      <c r="AX10" s="208"/>
      <c r="AY10" s="208"/>
      <c r="AZ10" s="208"/>
      <c r="BA10" s="208"/>
      <c r="BB10" s="208"/>
      <c r="BC10" s="208"/>
      <c r="BD10" s="208"/>
      <c r="BE10" s="208"/>
      <c r="BF10" s="207">
        <f>AL10+1</f>
        <v>3</v>
      </c>
      <c r="BG10" s="208"/>
      <c r="BH10" s="208"/>
      <c r="BI10" s="208"/>
      <c r="BJ10" s="208"/>
      <c r="BK10" s="208"/>
      <c r="BL10" s="208"/>
      <c r="BM10" s="208"/>
      <c r="BN10" s="208"/>
      <c r="BO10" s="208"/>
      <c r="BP10" s="208"/>
      <c r="BQ10" s="208"/>
      <c r="BR10" s="208"/>
      <c r="BS10" s="208"/>
      <c r="BT10" s="208"/>
      <c r="BU10" s="208"/>
      <c r="BV10" s="208"/>
      <c r="BW10" s="208"/>
      <c r="BX10" s="208"/>
      <c r="BY10" s="208"/>
      <c r="BZ10" s="207">
        <f>BF10+1</f>
        <v>4</v>
      </c>
      <c r="CA10" s="208"/>
      <c r="CB10" s="208"/>
      <c r="CC10" s="208"/>
      <c r="CD10" s="208"/>
      <c r="CE10" s="208"/>
      <c r="CF10" s="208"/>
      <c r="CG10" s="208"/>
      <c r="CH10" s="208"/>
      <c r="CI10" s="208"/>
      <c r="CJ10" s="208"/>
      <c r="CK10" s="208"/>
      <c r="CL10" s="208"/>
      <c r="CM10" s="208"/>
      <c r="CN10" s="208"/>
      <c r="CO10" s="208"/>
      <c r="CP10" s="208"/>
      <c r="CQ10" s="208"/>
      <c r="CR10" s="208"/>
      <c r="CS10" s="208"/>
      <c r="CT10" s="207">
        <f>BZ10+1</f>
        <v>5</v>
      </c>
      <c r="CU10" s="208"/>
      <c r="CV10" s="208"/>
      <c r="CW10" s="208"/>
      <c r="CX10" s="208"/>
      <c r="CY10" s="208"/>
      <c r="CZ10" s="208"/>
      <c r="DA10" s="208"/>
      <c r="DB10" s="208"/>
      <c r="DC10" s="208"/>
      <c r="DD10" s="208"/>
      <c r="DE10" s="208"/>
      <c r="DF10" s="208"/>
      <c r="DG10" s="208"/>
      <c r="DH10" s="208"/>
      <c r="DI10" s="208"/>
      <c r="DJ10" s="208"/>
      <c r="DK10" s="208"/>
      <c r="DL10" s="208"/>
      <c r="DM10" s="208"/>
      <c r="DN10" s="207">
        <f>CT10+1</f>
        <v>6</v>
      </c>
      <c r="DO10" s="208"/>
      <c r="DP10" s="208"/>
      <c r="DQ10" s="208"/>
      <c r="DR10" s="208"/>
      <c r="DS10" s="208"/>
      <c r="DT10" s="208"/>
      <c r="DU10" s="208"/>
      <c r="DV10" s="208"/>
      <c r="DW10" s="208"/>
      <c r="DX10" s="208"/>
      <c r="DY10" s="208"/>
      <c r="DZ10" s="208"/>
      <c r="EA10" s="208"/>
      <c r="EB10" s="208"/>
      <c r="EC10" s="208"/>
      <c r="ED10" s="208"/>
      <c r="EE10" s="208"/>
      <c r="EF10" s="208"/>
      <c r="EG10" s="208"/>
      <c r="EH10" s="207">
        <f>DN10+1</f>
        <v>7</v>
      </c>
      <c r="EI10" s="208"/>
      <c r="EJ10" s="208"/>
      <c r="EK10" s="208"/>
      <c r="EL10" s="208"/>
      <c r="EM10" s="208"/>
      <c r="EN10" s="208"/>
      <c r="EO10" s="208"/>
      <c r="EP10" s="208"/>
      <c r="EQ10" s="208"/>
      <c r="ER10" s="208"/>
      <c r="ES10" s="208"/>
      <c r="ET10" s="208"/>
      <c r="EU10" s="208"/>
      <c r="EV10" s="208"/>
      <c r="EW10" s="208"/>
      <c r="EX10" s="208"/>
      <c r="EY10" s="208"/>
      <c r="EZ10" s="208"/>
      <c r="FA10" s="208"/>
      <c r="FB10" s="207">
        <f>EH10+1</f>
        <v>8</v>
      </c>
      <c r="FC10" s="208"/>
      <c r="FD10" s="208"/>
      <c r="FE10" s="208"/>
      <c r="FF10" s="208"/>
      <c r="FG10" s="208"/>
      <c r="FH10" s="208"/>
      <c r="FI10" s="208"/>
      <c r="FJ10" s="208"/>
      <c r="FK10" s="208"/>
      <c r="FL10" s="208"/>
      <c r="FM10" s="208"/>
      <c r="FN10" s="208"/>
      <c r="FO10" s="208"/>
      <c r="FP10" s="208"/>
      <c r="FQ10" s="208"/>
      <c r="FR10" s="208"/>
      <c r="FS10" s="208"/>
      <c r="FT10" s="208"/>
      <c r="FU10" s="208"/>
      <c r="FV10" s="207">
        <f>FB10+1</f>
        <v>9</v>
      </c>
      <c r="FW10" s="208"/>
      <c r="FX10" s="208"/>
      <c r="FY10" s="208"/>
      <c r="FZ10" s="208"/>
      <c r="GA10" s="208"/>
      <c r="GB10" s="208"/>
      <c r="GC10" s="208"/>
      <c r="GD10" s="208"/>
      <c r="GE10" s="208"/>
      <c r="GF10" s="208"/>
      <c r="GG10" s="208"/>
      <c r="GH10" s="208"/>
      <c r="GI10" s="208"/>
      <c r="GJ10" s="208"/>
      <c r="GK10" s="208"/>
      <c r="GL10" s="208"/>
      <c r="GM10" s="208"/>
      <c r="GN10" s="208"/>
      <c r="GO10" s="208"/>
      <c r="GP10" s="207">
        <f>FV10+1</f>
        <v>10</v>
      </c>
      <c r="GQ10" s="208"/>
      <c r="GR10" s="208"/>
      <c r="GS10" s="208"/>
      <c r="GT10" s="208"/>
      <c r="GU10" s="208"/>
      <c r="GV10" s="208"/>
      <c r="GW10" s="208"/>
      <c r="GX10" s="208"/>
      <c r="GY10" s="208"/>
      <c r="GZ10" s="208"/>
      <c r="HA10" s="208"/>
      <c r="HB10" s="208"/>
      <c r="HC10" s="208"/>
      <c r="HD10" s="208"/>
      <c r="HE10" s="208"/>
      <c r="HF10" s="208"/>
      <c r="HG10" s="208"/>
      <c r="HH10" s="208"/>
      <c r="HI10" s="208"/>
      <c r="HJ10" s="207">
        <f>GP10+1</f>
        <v>11</v>
      </c>
      <c r="HK10" s="208"/>
      <c r="HL10" s="208"/>
      <c r="HM10" s="208"/>
      <c r="HN10" s="208"/>
      <c r="HO10" s="208"/>
      <c r="HP10" s="208"/>
      <c r="HQ10" s="208"/>
      <c r="HR10" s="208"/>
      <c r="HS10" s="208"/>
      <c r="HT10" s="208"/>
      <c r="HU10" s="208"/>
      <c r="HV10" s="208"/>
      <c r="HW10" s="208"/>
      <c r="HX10" s="208"/>
      <c r="HY10" s="208"/>
      <c r="HZ10" s="208"/>
      <c r="IA10" s="208"/>
      <c r="IB10" s="208"/>
      <c r="IC10" s="208"/>
      <c r="ID10" s="4"/>
      <c r="IF10" s="23"/>
      <c r="IG10" s="216" t="s">
        <v>71</v>
      </c>
      <c r="IH10" s="65"/>
      <c r="II10" s="215" t="s">
        <v>38</v>
      </c>
      <c r="IJ10" s="219" t="s">
        <v>113</v>
      </c>
      <c r="IK10" s="214" t="s">
        <v>107</v>
      </c>
      <c r="IL10" s="23"/>
    </row>
    <row r="11" spans="1:248" ht="11.25" customHeight="1" x14ac:dyDescent="0.15">
      <c r="F11" s="35"/>
      <c r="R11" s="209">
        <f>VLOOKUP(R10,演習開催日2,2)</f>
        <v>44837</v>
      </c>
      <c r="S11" s="210"/>
      <c r="T11" s="210"/>
      <c r="U11" s="210"/>
      <c r="V11" s="210"/>
      <c r="W11" s="210"/>
      <c r="X11" s="210"/>
      <c r="Y11" s="210"/>
      <c r="Z11" s="210"/>
      <c r="AA11" s="210"/>
      <c r="AB11" s="210"/>
      <c r="AC11" s="210"/>
      <c r="AD11" s="210"/>
      <c r="AE11" s="210"/>
      <c r="AF11" s="210"/>
      <c r="AG11" s="210"/>
      <c r="AH11" s="210"/>
      <c r="AI11" s="210"/>
      <c r="AJ11" s="210"/>
      <c r="AK11" s="210"/>
      <c r="AL11" s="209">
        <f>VLOOKUP(AL10,演習開催日2,2)</f>
        <v>44851</v>
      </c>
      <c r="AM11" s="210"/>
      <c r="AN11" s="210"/>
      <c r="AO11" s="210"/>
      <c r="AP11" s="210"/>
      <c r="AQ11" s="210"/>
      <c r="AR11" s="210"/>
      <c r="AS11" s="210"/>
      <c r="AT11" s="210"/>
      <c r="AU11" s="210"/>
      <c r="AV11" s="210"/>
      <c r="AW11" s="210"/>
      <c r="AX11" s="210"/>
      <c r="AY11" s="210"/>
      <c r="AZ11" s="210"/>
      <c r="BA11" s="210"/>
      <c r="BB11" s="210"/>
      <c r="BC11" s="210"/>
      <c r="BD11" s="210"/>
      <c r="BE11" s="210"/>
      <c r="BF11" s="209">
        <f>VLOOKUP(BF10,演習開催日2,2)</f>
        <v>44858</v>
      </c>
      <c r="BG11" s="210"/>
      <c r="BH11" s="210"/>
      <c r="BI11" s="210"/>
      <c r="BJ11" s="210"/>
      <c r="BK11" s="210"/>
      <c r="BL11" s="210"/>
      <c r="BM11" s="210"/>
      <c r="BN11" s="210"/>
      <c r="BO11" s="210"/>
      <c r="BP11" s="210"/>
      <c r="BQ11" s="210"/>
      <c r="BR11" s="210"/>
      <c r="BS11" s="210"/>
      <c r="BT11" s="210"/>
      <c r="BU11" s="210"/>
      <c r="BV11" s="210"/>
      <c r="BW11" s="210"/>
      <c r="BX11" s="210"/>
      <c r="BY11" s="210"/>
      <c r="BZ11" s="209">
        <f>VLOOKUP(BZ10,演習開催日2,2)</f>
        <v>44865</v>
      </c>
      <c r="CA11" s="210"/>
      <c r="CB11" s="210"/>
      <c r="CC11" s="210"/>
      <c r="CD11" s="210"/>
      <c r="CE11" s="210"/>
      <c r="CF11" s="210"/>
      <c r="CG11" s="210"/>
      <c r="CH11" s="210"/>
      <c r="CI11" s="210"/>
      <c r="CJ11" s="210"/>
      <c r="CK11" s="210"/>
      <c r="CL11" s="210"/>
      <c r="CM11" s="210"/>
      <c r="CN11" s="210"/>
      <c r="CO11" s="210"/>
      <c r="CP11" s="210"/>
      <c r="CQ11" s="210"/>
      <c r="CR11" s="210"/>
      <c r="CS11" s="210"/>
      <c r="CT11" s="209">
        <f>VLOOKUP(CT10,演習開催日2,2)</f>
        <v>44872</v>
      </c>
      <c r="CU11" s="210"/>
      <c r="CV11" s="210"/>
      <c r="CW11" s="210"/>
      <c r="CX11" s="210"/>
      <c r="CY11" s="210"/>
      <c r="CZ11" s="210"/>
      <c r="DA11" s="210"/>
      <c r="DB11" s="210"/>
      <c r="DC11" s="210"/>
      <c r="DD11" s="210"/>
      <c r="DE11" s="210"/>
      <c r="DF11" s="210"/>
      <c r="DG11" s="210"/>
      <c r="DH11" s="210"/>
      <c r="DI11" s="210"/>
      <c r="DJ11" s="210"/>
      <c r="DK11" s="210"/>
      <c r="DL11" s="210"/>
      <c r="DM11" s="210"/>
      <c r="DN11" s="209">
        <f>VLOOKUP(DN10,演習開催日2,2)</f>
        <v>44879</v>
      </c>
      <c r="DO11" s="210"/>
      <c r="DP11" s="210"/>
      <c r="DQ11" s="210"/>
      <c r="DR11" s="210"/>
      <c r="DS11" s="210"/>
      <c r="DT11" s="210"/>
      <c r="DU11" s="210"/>
      <c r="DV11" s="210"/>
      <c r="DW11" s="210"/>
      <c r="DX11" s="210"/>
      <c r="DY11" s="210"/>
      <c r="DZ11" s="210"/>
      <c r="EA11" s="210"/>
      <c r="EB11" s="210"/>
      <c r="EC11" s="210"/>
      <c r="ED11" s="210"/>
      <c r="EE11" s="210"/>
      <c r="EF11" s="210"/>
      <c r="EG11" s="210"/>
      <c r="EH11" s="209">
        <f>VLOOKUP(EH10,演習開催日2,2)</f>
        <v>44886</v>
      </c>
      <c r="EI11" s="210"/>
      <c r="EJ11" s="210"/>
      <c r="EK11" s="210"/>
      <c r="EL11" s="210"/>
      <c r="EM11" s="210"/>
      <c r="EN11" s="210"/>
      <c r="EO11" s="210"/>
      <c r="EP11" s="210"/>
      <c r="EQ11" s="210"/>
      <c r="ER11" s="210"/>
      <c r="ES11" s="210"/>
      <c r="ET11" s="210"/>
      <c r="EU11" s="210"/>
      <c r="EV11" s="210"/>
      <c r="EW11" s="210"/>
      <c r="EX11" s="210"/>
      <c r="EY11" s="210"/>
      <c r="EZ11" s="210"/>
      <c r="FA11" s="210"/>
      <c r="FB11" s="209">
        <f>VLOOKUP(FB10,演習開催日2,2)</f>
        <v>44893</v>
      </c>
      <c r="FC11" s="210"/>
      <c r="FD11" s="210"/>
      <c r="FE11" s="210"/>
      <c r="FF11" s="210"/>
      <c r="FG11" s="210"/>
      <c r="FH11" s="210"/>
      <c r="FI11" s="210"/>
      <c r="FJ11" s="210"/>
      <c r="FK11" s="210"/>
      <c r="FL11" s="210"/>
      <c r="FM11" s="210"/>
      <c r="FN11" s="210"/>
      <c r="FO11" s="210"/>
      <c r="FP11" s="210"/>
      <c r="FQ11" s="210"/>
      <c r="FR11" s="210"/>
      <c r="FS11" s="210"/>
      <c r="FT11" s="210"/>
      <c r="FU11" s="210"/>
      <c r="FV11" s="209">
        <f>VLOOKUP(FV10,演習開催日2,2)</f>
        <v>44900</v>
      </c>
      <c r="FW11" s="210"/>
      <c r="FX11" s="210"/>
      <c r="FY11" s="210"/>
      <c r="FZ11" s="210"/>
      <c r="GA11" s="210"/>
      <c r="GB11" s="210"/>
      <c r="GC11" s="210"/>
      <c r="GD11" s="210"/>
      <c r="GE11" s="210"/>
      <c r="GF11" s="210"/>
      <c r="GG11" s="210"/>
      <c r="GH11" s="210"/>
      <c r="GI11" s="210"/>
      <c r="GJ11" s="210"/>
      <c r="GK11" s="210"/>
      <c r="GL11" s="210"/>
      <c r="GM11" s="210"/>
      <c r="GN11" s="210"/>
      <c r="GO11" s="210"/>
      <c r="GP11" s="209">
        <f>VLOOKUP(GP10,演習開催日2,2)</f>
        <v>44907</v>
      </c>
      <c r="GQ11" s="210"/>
      <c r="GR11" s="210"/>
      <c r="GS11" s="210"/>
      <c r="GT11" s="210"/>
      <c r="GU11" s="210"/>
      <c r="GV11" s="210"/>
      <c r="GW11" s="210"/>
      <c r="GX11" s="210"/>
      <c r="GY11" s="210"/>
      <c r="GZ11" s="210"/>
      <c r="HA11" s="210"/>
      <c r="HB11" s="210"/>
      <c r="HC11" s="210"/>
      <c r="HD11" s="210"/>
      <c r="HE11" s="210"/>
      <c r="HF11" s="210"/>
      <c r="HG11" s="210"/>
      <c r="HH11" s="210"/>
      <c r="HI11" s="210"/>
      <c r="HJ11" s="209">
        <f>VLOOKUP(HJ10,演習開催日2,2)</f>
        <v>44914</v>
      </c>
      <c r="HK11" s="210"/>
      <c r="HL11" s="210"/>
      <c r="HM11" s="210"/>
      <c r="HN11" s="210"/>
      <c r="HO11" s="210"/>
      <c r="HP11" s="210"/>
      <c r="HQ11" s="210"/>
      <c r="HR11" s="210"/>
      <c r="HS11" s="210"/>
      <c r="HT11" s="210"/>
      <c r="HU11" s="210"/>
      <c r="HV11" s="210"/>
      <c r="HW11" s="210"/>
      <c r="HX11" s="210"/>
      <c r="HY11" s="210"/>
      <c r="HZ11" s="210"/>
      <c r="IA11" s="210"/>
      <c r="IB11" s="210"/>
      <c r="IC11" s="210"/>
      <c r="ID11" s="16"/>
      <c r="IF11" s="23"/>
      <c r="IG11" s="217"/>
      <c r="IH11" s="66"/>
      <c r="II11" s="215"/>
      <c r="IJ11" s="220"/>
      <c r="IK11" s="214"/>
      <c r="IL11" s="23"/>
    </row>
    <row r="12" spans="1:248" ht="11.25" customHeight="1" x14ac:dyDescent="0.15">
      <c r="F12" s="184" t="s">
        <v>118</v>
      </c>
      <c r="G12" s="185"/>
      <c r="H12" s="185"/>
      <c r="I12" s="185"/>
      <c r="J12" s="185"/>
      <c r="K12" s="186"/>
      <c r="L12" s="229" t="s">
        <v>119</v>
      </c>
      <c r="M12" s="230"/>
      <c r="N12" s="230"/>
      <c r="O12" s="230"/>
      <c r="P12" s="231"/>
      <c r="R12" s="211">
        <v>1</v>
      </c>
      <c r="S12" s="212"/>
      <c r="T12" s="212"/>
      <c r="U12" s="212"/>
      <c r="V12" s="212"/>
      <c r="W12" s="212"/>
      <c r="X12" s="212"/>
      <c r="Y12" s="212"/>
      <c r="Z12" s="212"/>
      <c r="AA12" s="212"/>
      <c r="AB12" s="211">
        <v>2</v>
      </c>
      <c r="AC12" s="212"/>
      <c r="AD12" s="212"/>
      <c r="AE12" s="212"/>
      <c r="AF12" s="212"/>
      <c r="AG12" s="212"/>
      <c r="AH12" s="212"/>
      <c r="AI12" s="212"/>
      <c r="AJ12" s="212"/>
      <c r="AK12" s="212"/>
      <c r="AL12" s="211">
        <v>1</v>
      </c>
      <c r="AM12" s="212"/>
      <c r="AN12" s="212"/>
      <c r="AO12" s="212"/>
      <c r="AP12" s="212"/>
      <c r="AQ12" s="212"/>
      <c r="AR12" s="212"/>
      <c r="AS12" s="212"/>
      <c r="AT12" s="212"/>
      <c r="AU12" s="213"/>
      <c r="AV12" s="211">
        <v>2</v>
      </c>
      <c r="AW12" s="212"/>
      <c r="AX12" s="212"/>
      <c r="AY12" s="212"/>
      <c r="AZ12" s="212"/>
      <c r="BA12" s="212"/>
      <c r="BB12" s="212"/>
      <c r="BC12" s="212"/>
      <c r="BD12" s="212"/>
      <c r="BE12" s="213"/>
      <c r="BF12" s="211">
        <v>1</v>
      </c>
      <c r="BG12" s="212"/>
      <c r="BH12" s="212"/>
      <c r="BI12" s="212"/>
      <c r="BJ12" s="212"/>
      <c r="BK12" s="212"/>
      <c r="BL12" s="212"/>
      <c r="BM12" s="212"/>
      <c r="BN12" s="212"/>
      <c r="BO12" s="212"/>
      <c r="BP12" s="211">
        <v>2</v>
      </c>
      <c r="BQ12" s="212"/>
      <c r="BR12" s="212"/>
      <c r="BS12" s="212"/>
      <c r="BT12" s="212"/>
      <c r="BU12" s="212"/>
      <c r="BV12" s="212"/>
      <c r="BW12" s="212"/>
      <c r="BX12" s="212"/>
      <c r="BY12" s="212"/>
      <c r="BZ12" s="211">
        <v>1</v>
      </c>
      <c r="CA12" s="212"/>
      <c r="CB12" s="212"/>
      <c r="CC12" s="212"/>
      <c r="CD12" s="212"/>
      <c r="CE12" s="212"/>
      <c r="CF12" s="212"/>
      <c r="CG12" s="212"/>
      <c r="CH12" s="212"/>
      <c r="CI12" s="212"/>
      <c r="CJ12" s="211">
        <v>2</v>
      </c>
      <c r="CK12" s="212"/>
      <c r="CL12" s="212"/>
      <c r="CM12" s="212"/>
      <c r="CN12" s="212"/>
      <c r="CO12" s="212"/>
      <c r="CP12" s="212"/>
      <c r="CQ12" s="212"/>
      <c r="CR12" s="212"/>
      <c r="CS12" s="212"/>
      <c r="CT12" s="211">
        <v>1</v>
      </c>
      <c r="CU12" s="212"/>
      <c r="CV12" s="212"/>
      <c r="CW12" s="212"/>
      <c r="CX12" s="212"/>
      <c r="CY12" s="212"/>
      <c r="CZ12" s="212"/>
      <c r="DA12" s="212"/>
      <c r="DB12" s="212"/>
      <c r="DC12" s="212"/>
      <c r="DD12" s="211">
        <v>2</v>
      </c>
      <c r="DE12" s="212"/>
      <c r="DF12" s="212"/>
      <c r="DG12" s="212"/>
      <c r="DH12" s="212"/>
      <c r="DI12" s="212"/>
      <c r="DJ12" s="212"/>
      <c r="DK12" s="212"/>
      <c r="DL12" s="212"/>
      <c r="DM12" s="212"/>
      <c r="DN12" s="211">
        <v>1</v>
      </c>
      <c r="DO12" s="212"/>
      <c r="DP12" s="212"/>
      <c r="DQ12" s="212"/>
      <c r="DR12" s="212"/>
      <c r="DS12" s="212"/>
      <c r="DT12" s="212"/>
      <c r="DU12" s="212"/>
      <c r="DV12" s="212"/>
      <c r="DW12" s="212"/>
      <c r="DX12" s="211">
        <v>2</v>
      </c>
      <c r="DY12" s="212"/>
      <c r="DZ12" s="212"/>
      <c r="EA12" s="212"/>
      <c r="EB12" s="212"/>
      <c r="EC12" s="212"/>
      <c r="ED12" s="212"/>
      <c r="EE12" s="212"/>
      <c r="EF12" s="212"/>
      <c r="EG12" s="212"/>
      <c r="EH12" s="211">
        <v>1</v>
      </c>
      <c r="EI12" s="212"/>
      <c r="EJ12" s="212"/>
      <c r="EK12" s="212"/>
      <c r="EL12" s="212"/>
      <c r="EM12" s="212"/>
      <c r="EN12" s="212"/>
      <c r="EO12" s="212"/>
      <c r="EP12" s="212"/>
      <c r="EQ12" s="212"/>
      <c r="ER12" s="211">
        <v>2</v>
      </c>
      <c r="ES12" s="212"/>
      <c r="ET12" s="212"/>
      <c r="EU12" s="212"/>
      <c r="EV12" s="212"/>
      <c r="EW12" s="212"/>
      <c r="EX12" s="212"/>
      <c r="EY12" s="212"/>
      <c r="EZ12" s="212"/>
      <c r="FA12" s="212"/>
      <c r="FB12" s="211">
        <v>1</v>
      </c>
      <c r="FC12" s="212"/>
      <c r="FD12" s="212"/>
      <c r="FE12" s="212"/>
      <c r="FF12" s="212"/>
      <c r="FG12" s="212"/>
      <c r="FH12" s="212"/>
      <c r="FI12" s="212"/>
      <c r="FJ12" s="212"/>
      <c r="FK12" s="212"/>
      <c r="FL12" s="211">
        <v>2</v>
      </c>
      <c r="FM12" s="212"/>
      <c r="FN12" s="212"/>
      <c r="FO12" s="212"/>
      <c r="FP12" s="212"/>
      <c r="FQ12" s="212"/>
      <c r="FR12" s="212"/>
      <c r="FS12" s="212"/>
      <c r="FT12" s="212"/>
      <c r="FU12" s="212"/>
      <c r="FV12" s="211">
        <v>1</v>
      </c>
      <c r="FW12" s="212"/>
      <c r="FX12" s="212"/>
      <c r="FY12" s="212"/>
      <c r="FZ12" s="212"/>
      <c r="GA12" s="212"/>
      <c r="GB12" s="212"/>
      <c r="GC12" s="212"/>
      <c r="GD12" s="212"/>
      <c r="GE12" s="212"/>
      <c r="GF12" s="211">
        <v>2</v>
      </c>
      <c r="GG12" s="212"/>
      <c r="GH12" s="212"/>
      <c r="GI12" s="212"/>
      <c r="GJ12" s="212"/>
      <c r="GK12" s="212"/>
      <c r="GL12" s="212"/>
      <c r="GM12" s="212"/>
      <c r="GN12" s="212"/>
      <c r="GO12" s="212"/>
      <c r="GP12" s="211">
        <v>1</v>
      </c>
      <c r="GQ12" s="212"/>
      <c r="GR12" s="212"/>
      <c r="GS12" s="212"/>
      <c r="GT12" s="212"/>
      <c r="GU12" s="212"/>
      <c r="GV12" s="212"/>
      <c r="GW12" s="212"/>
      <c r="GX12" s="212"/>
      <c r="GY12" s="212"/>
      <c r="GZ12" s="211">
        <v>2</v>
      </c>
      <c r="HA12" s="212"/>
      <c r="HB12" s="212"/>
      <c r="HC12" s="212"/>
      <c r="HD12" s="212"/>
      <c r="HE12" s="212"/>
      <c r="HF12" s="212"/>
      <c r="HG12" s="212"/>
      <c r="HH12" s="212"/>
      <c r="HI12" s="212"/>
      <c r="HJ12" s="211">
        <v>1</v>
      </c>
      <c r="HK12" s="212"/>
      <c r="HL12" s="212"/>
      <c r="HM12" s="212"/>
      <c r="HN12" s="212"/>
      <c r="HO12" s="212"/>
      <c r="HP12" s="212"/>
      <c r="HQ12" s="212"/>
      <c r="HR12" s="212"/>
      <c r="HS12" s="212"/>
      <c r="HT12" s="211">
        <v>2</v>
      </c>
      <c r="HU12" s="212"/>
      <c r="HV12" s="212"/>
      <c r="HW12" s="212"/>
      <c r="HX12" s="212"/>
      <c r="HY12" s="212"/>
      <c r="HZ12" s="212"/>
      <c r="IA12" s="212"/>
      <c r="IB12" s="212"/>
      <c r="IC12" s="212"/>
      <c r="ID12" s="4"/>
      <c r="IF12" s="23"/>
      <c r="IG12" s="217"/>
      <c r="IH12" s="66"/>
      <c r="II12" s="215"/>
      <c r="IJ12" s="220"/>
      <c r="IK12" s="214"/>
      <c r="IL12" s="23"/>
      <c r="IM12" s="157" t="s">
        <v>58</v>
      </c>
      <c r="IN12" s="17" t="s">
        <v>59</v>
      </c>
    </row>
    <row r="13" spans="1:248" ht="12.75" hidden="1" customHeight="1" thickBot="1" x14ac:dyDescent="0.2">
      <c r="F13" s="187"/>
      <c r="G13" s="188"/>
      <c r="H13" s="188"/>
      <c r="I13" s="188"/>
      <c r="J13" s="188"/>
      <c r="K13" s="189"/>
      <c r="L13" s="232"/>
      <c r="M13" s="233"/>
      <c r="N13" s="233"/>
      <c r="O13" s="233"/>
      <c r="P13" s="234"/>
      <c r="Q13" s="18"/>
      <c r="R13" s="37">
        <v>1</v>
      </c>
      <c r="S13" s="37">
        <v>2</v>
      </c>
      <c r="T13" s="37">
        <v>3</v>
      </c>
      <c r="U13" s="37">
        <v>4</v>
      </c>
      <c r="V13" s="37"/>
      <c r="W13" s="37">
        <v>5</v>
      </c>
      <c r="X13" s="37">
        <v>6</v>
      </c>
      <c r="Y13" s="37">
        <v>7</v>
      </c>
      <c r="Z13" s="37">
        <v>8</v>
      </c>
      <c r="AA13" s="37">
        <v>9</v>
      </c>
      <c r="AB13" s="37">
        <v>1</v>
      </c>
      <c r="AC13" s="37">
        <v>2</v>
      </c>
      <c r="AD13" s="37"/>
      <c r="AE13" s="37">
        <v>3</v>
      </c>
      <c r="AF13" s="37">
        <v>4</v>
      </c>
      <c r="AG13" s="37">
        <v>5</v>
      </c>
      <c r="AH13" s="37">
        <v>6</v>
      </c>
      <c r="AI13" s="37">
        <v>7</v>
      </c>
      <c r="AJ13" s="37">
        <v>8</v>
      </c>
      <c r="AK13" s="37">
        <v>9</v>
      </c>
      <c r="AL13" s="37">
        <v>1</v>
      </c>
      <c r="AM13" s="37">
        <v>2</v>
      </c>
      <c r="AN13" s="37">
        <v>3</v>
      </c>
      <c r="AO13" s="37">
        <v>4</v>
      </c>
      <c r="AP13" s="37">
        <v>5</v>
      </c>
      <c r="AQ13" s="37"/>
      <c r="AR13" s="37">
        <v>6</v>
      </c>
      <c r="AS13" s="37">
        <v>7</v>
      </c>
      <c r="AT13" s="37">
        <v>8</v>
      </c>
      <c r="AU13" s="37">
        <v>9</v>
      </c>
      <c r="AV13" s="37">
        <v>1</v>
      </c>
      <c r="AW13" s="37">
        <v>2</v>
      </c>
      <c r="AX13" s="37"/>
      <c r="AY13" s="37">
        <v>3</v>
      </c>
      <c r="AZ13" s="37">
        <v>4</v>
      </c>
      <c r="BA13" s="37">
        <v>5</v>
      </c>
      <c r="BB13" s="37">
        <v>6</v>
      </c>
      <c r="BC13" s="37">
        <v>7</v>
      </c>
      <c r="BD13" s="37">
        <v>8</v>
      </c>
      <c r="BE13" s="37">
        <v>9</v>
      </c>
      <c r="BF13" s="37">
        <v>1</v>
      </c>
      <c r="BG13" s="37">
        <v>2</v>
      </c>
      <c r="BH13" s="37">
        <v>3</v>
      </c>
      <c r="BI13" s="37">
        <v>4</v>
      </c>
      <c r="BJ13" s="37">
        <v>5</v>
      </c>
      <c r="BK13" s="37">
        <v>6</v>
      </c>
      <c r="BL13" s="37"/>
      <c r="BM13" s="37">
        <v>7</v>
      </c>
      <c r="BN13" s="37">
        <v>8</v>
      </c>
      <c r="BO13" s="37">
        <v>9</v>
      </c>
      <c r="BP13" s="37">
        <v>1</v>
      </c>
      <c r="BQ13" s="37">
        <v>2</v>
      </c>
      <c r="BR13" s="37"/>
      <c r="BS13" s="37">
        <v>3</v>
      </c>
      <c r="BT13" s="37">
        <v>4</v>
      </c>
      <c r="BU13" s="37">
        <v>5</v>
      </c>
      <c r="BV13" s="37">
        <v>6</v>
      </c>
      <c r="BW13" s="37">
        <v>7</v>
      </c>
      <c r="BX13" s="37">
        <v>8</v>
      </c>
      <c r="BY13" s="37">
        <v>9</v>
      </c>
      <c r="BZ13" s="37">
        <v>1</v>
      </c>
      <c r="CA13" s="37">
        <v>2</v>
      </c>
      <c r="CB13" s="37">
        <v>3</v>
      </c>
      <c r="CC13" s="37">
        <v>4</v>
      </c>
      <c r="CD13" s="37"/>
      <c r="CE13" s="37">
        <v>5</v>
      </c>
      <c r="CF13" s="37">
        <v>6</v>
      </c>
      <c r="CG13" s="37">
        <v>7</v>
      </c>
      <c r="CH13" s="37">
        <v>8</v>
      </c>
      <c r="CI13" s="37">
        <v>9</v>
      </c>
      <c r="CJ13" s="37">
        <v>1</v>
      </c>
      <c r="CK13" s="37">
        <v>2</v>
      </c>
      <c r="CL13" s="37"/>
      <c r="CM13" s="37">
        <v>3</v>
      </c>
      <c r="CN13" s="37">
        <v>4</v>
      </c>
      <c r="CO13" s="37">
        <v>5</v>
      </c>
      <c r="CP13" s="37">
        <v>6</v>
      </c>
      <c r="CQ13" s="37">
        <v>7</v>
      </c>
      <c r="CR13" s="37">
        <v>8</v>
      </c>
      <c r="CS13" s="37">
        <v>9</v>
      </c>
      <c r="CT13" s="37">
        <v>1</v>
      </c>
      <c r="CU13" s="37">
        <v>2</v>
      </c>
      <c r="CV13" s="37">
        <v>3</v>
      </c>
      <c r="CW13" s="37">
        <v>4</v>
      </c>
      <c r="CX13" s="37"/>
      <c r="CY13" s="37">
        <v>5</v>
      </c>
      <c r="CZ13" s="37">
        <v>6</v>
      </c>
      <c r="DA13" s="37">
        <v>7</v>
      </c>
      <c r="DB13" s="37">
        <v>8</v>
      </c>
      <c r="DC13" s="37">
        <v>9</v>
      </c>
      <c r="DD13" s="37">
        <v>1</v>
      </c>
      <c r="DE13" s="37">
        <v>2</v>
      </c>
      <c r="DF13" s="37">
        <v>3</v>
      </c>
      <c r="DG13" s="37">
        <v>4</v>
      </c>
      <c r="DH13" s="37">
        <v>5</v>
      </c>
      <c r="DI13" s="37">
        <v>6</v>
      </c>
      <c r="DJ13" s="37">
        <v>7</v>
      </c>
      <c r="DK13" s="37">
        <v>8</v>
      </c>
      <c r="DL13" s="37"/>
      <c r="DM13" s="37">
        <v>9</v>
      </c>
      <c r="DN13" s="37">
        <v>1</v>
      </c>
      <c r="DO13" s="37">
        <v>2</v>
      </c>
      <c r="DP13" s="37">
        <v>3</v>
      </c>
      <c r="DQ13" s="37">
        <v>4</v>
      </c>
      <c r="DR13" s="37">
        <v>5</v>
      </c>
      <c r="DS13" s="37"/>
      <c r="DT13" s="37">
        <v>6</v>
      </c>
      <c r="DU13" s="37">
        <v>7</v>
      </c>
      <c r="DV13" s="37">
        <v>8</v>
      </c>
      <c r="DW13" s="37">
        <v>9</v>
      </c>
      <c r="DX13" s="37">
        <v>1</v>
      </c>
      <c r="DY13" s="37">
        <v>2</v>
      </c>
      <c r="DZ13" s="37">
        <v>3</v>
      </c>
      <c r="EA13" s="37"/>
      <c r="EB13" s="37">
        <v>4</v>
      </c>
      <c r="EC13" s="37">
        <v>5</v>
      </c>
      <c r="ED13" s="37">
        <v>6</v>
      </c>
      <c r="EE13" s="37">
        <v>7</v>
      </c>
      <c r="EF13" s="37">
        <v>8</v>
      </c>
      <c r="EG13" s="37">
        <v>9</v>
      </c>
      <c r="EH13" s="37">
        <v>1</v>
      </c>
      <c r="EI13" s="37">
        <v>2</v>
      </c>
      <c r="EJ13" s="37">
        <v>3</v>
      </c>
      <c r="EK13" s="37">
        <v>4</v>
      </c>
      <c r="EL13" s="37">
        <v>5</v>
      </c>
      <c r="EM13" s="37">
        <v>6</v>
      </c>
      <c r="EN13" s="37"/>
      <c r="EO13" s="37">
        <v>7</v>
      </c>
      <c r="EP13" s="37">
        <v>8</v>
      </c>
      <c r="EQ13" s="37">
        <v>9</v>
      </c>
      <c r="ER13" s="37">
        <v>1</v>
      </c>
      <c r="ES13" s="37">
        <v>2</v>
      </c>
      <c r="ET13" s="37">
        <v>3</v>
      </c>
      <c r="EU13" s="37">
        <v>4</v>
      </c>
      <c r="EV13" s="37">
        <v>5</v>
      </c>
      <c r="EW13" s="37"/>
      <c r="EX13" s="37">
        <v>6</v>
      </c>
      <c r="EY13" s="37">
        <v>7</v>
      </c>
      <c r="EZ13" s="37">
        <v>8</v>
      </c>
      <c r="FA13" s="37">
        <v>9</v>
      </c>
      <c r="FB13" s="37">
        <v>1</v>
      </c>
      <c r="FC13" s="37">
        <v>2</v>
      </c>
      <c r="FD13" s="37">
        <v>3</v>
      </c>
      <c r="FE13" s="37">
        <v>4</v>
      </c>
      <c r="FF13" s="37">
        <v>5</v>
      </c>
      <c r="FG13" s="37"/>
      <c r="FH13" s="37">
        <v>6</v>
      </c>
      <c r="FI13" s="37">
        <v>7</v>
      </c>
      <c r="FJ13" s="37">
        <v>8</v>
      </c>
      <c r="FK13" s="37">
        <v>9</v>
      </c>
      <c r="FL13" s="37">
        <v>1</v>
      </c>
      <c r="FM13" s="37">
        <v>2</v>
      </c>
      <c r="FN13" s="37">
        <v>3</v>
      </c>
      <c r="FO13" s="37">
        <v>4</v>
      </c>
      <c r="FP13" s="37">
        <v>5</v>
      </c>
      <c r="FQ13" s="37">
        <v>6</v>
      </c>
      <c r="FR13" s="37">
        <v>7</v>
      </c>
      <c r="FS13" s="37">
        <v>8</v>
      </c>
      <c r="FT13" s="37"/>
      <c r="FU13" s="37">
        <v>9</v>
      </c>
      <c r="FV13" s="37">
        <v>1</v>
      </c>
      <c r="FW13" s="37">
        <v>2</v>
      </c>
      <c r="FX13" s="37">
        <v>3</v>
      </c>
      <c r="FY13" s="37">
        <v>4</v>
      </c>
      <c r="FZ13" s="37">
        <v>5</v>
      </c>
      <c r="GA13" s="37">
        <v>6</v>
      </c>
      <c r="GB13" s="37"/>
      <c r="GC13" s="37">
        <v>7</v>
      </c>
      <c r="GD13" s="37">
        <v>8</v>
      </c>
      <c r="GE13" s="37">
        <v>9</v>
      </c>
      <c r="GF13" s="37">
        <v>1</v>
      </c>
      <c r="GG13" s="37">
        <v>2</v>
      </c>
      <c r="GH13" s="37">
        <v>3</v>
      </c>
      <c r="GI13" s="37">
        <v>4</v>
      </c>
      <c r="GJ13" s="37">
        <v>5</v>
      </c>
      <c r="GK13" s="37"/>
      <c r="GL13" s="37">
        <v>6</v>
      </c>
      <c r="GM13" s="37">
        <v>7</v>
      </c>
      <c r="GN13" s="37">
        <v>8</v>
      </c>
      <c r="GO13" s="37">
        <v>9</v>
      </c>
      <c r="GP13" s="37">
        <v>1</v>
      </c>
      <c r="GQ13" s="37">
        <v>2</v>
      </c>
      <c r="GR13" s="37">
        <v>3</v>
      </c>
      <c r="GS13" s="37">
        <v>4</v>
      </c>
      <c r="GT13" s="37">
        <v>5</v>
      </c>
      <c r="GU13" s="37"/>
      <c r="GV13" s="37">
        <v>6</v>
      </c>
      <c r="GW13" s="37">
        <v>7</v>
      </c>
      <c r="GX13" s="37">
        <v>8</v>
      </c>
      <c r="GY13" s="37">
        <v>9</v>
      </c>
      <c r="GZ13" s="37">
        <v>1</v>
      </c>
      <c r="HA13" s="37">
        <v>2</v>
      </c>
      <c r="HB13" s="37">
        <v>3</v>
      </c>
      <c r="HC13" s="37">
        <v>4</v>
      </c>
      <c r="HD13" s="37"/>
      <c r="HE13" s="37">
        <v>5</v>
      </c>
      <c r="HF13" s="37">
        <v>6</v>
      </c>
      <c r="HG13" s="37">
        <v>7</v>
      </c>
      <c r="HH13" s="37">
        <v>8</v>
      </c>
      <c r="HI13" s="37">
        <v>9</v>
      </c>
      <c r="HJ13" s="37">
        <v>1</v>
      </c>
      <c r="HK13" s="37">
        <v>2</v>
      </c>
      <c r="HL13" s="37">
        <v>3</v>
      </c>
      <c r="HM13" s="37">
        <v>4</v>
      </c>
      <c r="HN13" s="37">
        <v>5</v>
      </c>
      <c r="HO13" s="37"/>
      <c r="HP13" s="37">
        <v>6</v>
      </c>
      <c r="HQ13" s="37">
        <v>7</v>
      </c>
      <c r="HR13" s="37">
        <v>8</v>
      </c>
      <c r="HS13" s="37">
        <v>9</v>
      </c>
      <c r="HT13" s="37">
        <v>1</v>
      </c>
      <c r="HU13" s="37">
        <v>2</v>
      </c>
      <c r="HV13" s="37">
        <v>3</v>
      </c>
      <c r="HW13" s="37">
        <v>4</v>
      </c>
      <c r="HX13" s="37"/>
      <c r="HY13" s="37">
        <v>5</v>
      </c>
      <c r="HZ13" s="37">
        <v>6</v>
      </c>
      <c r="IA13" s="37">
        <v>7</v>
      </c>
      <c r="IB13" s="37">
        <v>8</v>
      </c>
      <c r="IC13" s="37">
        <v>9</v>
      </c>
      <c r="ID13" s="16"/>
      <c r="IF13" s="23"/>
      <c r="IG13" s="218"/>
      <c r="IH13" s="67"/>
      <c r="II13" s="215"/>
      <c r="IJ13" s="221"/>
      <c r="IK13" s="214"/>
      <c r="IL13" s="23"/>
      <c r="IM13" s="156" t="str">
        <f>AN3</f>
        <v>仲山</v>
      </c>
      <c r="IN13" s="1">
        <v>1</v>
      </c>
    </row>
    <row r="14" spans="1:248" ht="11.25" customHeight="1" thickBot="1" x14ac:dyDescent="0.2">
      <c r="A14" s="131"/>
      <c r="B14" s="132" t="s">
        <v>13</v>
      </c>
      <c r="C14" s="132"/>
      <c r="D14" s="133" t="s">
        <v>4</v>
      </c>
      <c r="E14" s="134" t="s">
        <v>3</v>
      </c>
      <c r="F14" s="135" t="s">
        <v>104</v>
      </c>
      <c r="G14" s="136" t="s">
        <v>1</v>
      </c>
      <c r="H14" s="136" t="s">
        <v>2</v>
      </c>
      <c r="I14" s="136" t="s">
        <v>37</v>
      </c>
      <c r="J14" s="137" t="s">
        <v>0</v>
      </c>
      <c r="K14" s="138" t="s">
        <v>106</v>
      </c>
      <c r="L14" s="139" t="s">
        <v>73</v>
      </c>
      <c r="M14" s="139" t="s">
        <v>1</v>
      </c>
      <c r="N14" s="139" t="s">
        <v>2</v>
      </c>
      <c r="O14" s="139" t="s">
        <v>72</v>
      </c>
      <c r="P14" s="140" t="s">
        <v>100</v>
      </c>
      <c r="R14" s="34" t="s">
        <v>127</v>
      </c>
      <c r="S14" s="33" t="s">
        <v>151</v>
      </c>
      <c r="T14" s="33" t="s">
        <v>151</v>
      </c>
      <c r="U14" s="33" t="s">
        <v>151</v>
      </c>
      <c r="V14" s="33"/>
      <c r="W14" s="33"/>
      <c r="X14" s="33"/>
      <c r="Y14" s="33"/>
      <c r="Z14" s="33"/>
      <c r="AA14" s="33"/>
      <c r="AB14" s="33"/>
      <c r="AC14" s="33"/>
      <c r="AD14" s="33"/>
      <c r="AE14" s="33"/>
      <c r="AF14" s="33"/>
      <c r="AG14" s="33" t="s">
        <v>151</v>
      </c>
      <c r="AH14" s="33" t="s">
        <v>151</v>
      </c>
      <c r="AI14" s="33"/>
      <c r="AJ14" s="33"/>
      <c r="AK14" s="33"/>
      <c r="AL14" s="34" t="s">
        <v>127</v>
      </c>
      <c r="AM14" s="33" t="s">
        <v>151</v>
      </c>
      <c r="AN14" s="33" t="s">
        <v>151</v>
      </c>
      <c r="AO14" s="33" t="s">
        <v>151</v>
      </c>
      <c r="AP14" s="33" t="s">
        <v>151</v>
      </c>
      <c r="AQ14" s="33" t="s">
        <v>161</v>
      </c>
      <c r="AR14" s="33" t="s">
        <v>161</v>
      </c>
      <c r="AS14" s="33" t="s">
        <v>161</v>
      </c>
      <c r="AT14" s="33" t="s">
        <v>161</v>
      </c>
      <c r="AU14" s="33" t="s">
        <v>161</v>
      </c>
      <c r="AV14" s="33"/>
      <c r="AW14" s="33"/>
      <c r="AX14" s="33"/>
      <c r="AY14" s="33"/>
      <c r="AZ14" s="33"/>
      <c r="BA14" s="33"/>
      <c r="BB14" s="33"/>
      <c r="BC14" s="33"/>
      <c r="BD14" s="33"/>
      <c r="BE14" s="33"/>
      <c r="BF14" s="34" t="s">
        <v>127</v>
      </c>
      <c r="BG14" s="33" t="s">
        <v>151</v>
      </c>
      <c r="BH14" s="33" t="s">
        <v>151</v>
      </c>
      <c r="BI14" s="33" t="s">
        <v>151</v>
      </c>
      <c r="BJ14" s="33" t="s">
        <v>151</v>
      </c>
      <c r="BK14" s="33"/>
      <c r="BL14" s="33"/>
      <c r="BM14" s="33"/>
      <c r="BN14" s="33"/>
      <c r="BO14" s="33"/>
      <c r="BP14" s="33"/>
      <c r="BQ14" s="33"/>
      <c r="BR14" s="33"/>
      <c r="BS14" s="33"/>
      <c r="BT14" s="33"/>
      <c r="BU14" s="33"/>
      <c r="BV14" s="33"/>
      <c r="BW14" s="33"/>
      <c r="BX14" s="33"/>
      <c r="BY14" s="33"/>
      <c r="BZ14" s="34" t="s">
        <v>127</v>
      </c>
      <c r="CA14" s="33" t="s">
        <v>151</v>
      </c>
      <c r="CB14" s="33" t="s">
        <v>151</v>
      </c>
      <c r="CC14" s="33"/>
      <c r="CD14" s="33"/>
      <c r="CE14" s="33"/>
      <c r="CF14" s="33"/>
      <c r="CG14" s="33"/>
      <c r="CH14" s="33"/>
      <c r="CI14" s="33"/>
      <c r="CJ14" s="33"/>
      <c r="CK14" s="33"/>
      <c r="CL14" s="33"/>
      <c r="CM14" s="33"/>
      <c r="CN14" s="33"/>
      <c r="CO14" s="33"/>
      <c r="CP14" s="33"/>
      <c r="CQ14" s="33"/>
      <c r="CR14" s="33"/>
      <c r="CS14" s="33"/>
      <c r="CT14" s="34" t="s">
        <v>127</v>
      </c>
      <c r="CU14" s="33"/>
      <c r="CV14" s="33"/>
      <c r="CW14" s="33"/>
      <c r="CX14" s="33"/>
      <c r="CY14" s="33"/>
      <c r="CZ14" s="33"/>
      <c r="DA14" s="33"/>
      <c r="DB14" s="33"/>
      <c r="DC14" s="33"/>
      <c r="DD14" s="33"/>
      <c r="DE14" s="33"/>
      <c r="DF14" s="33"/>
      <c r="DG14" s="33"/>
      <c r="DH14" s="33"/>
      <c r="DI14" s="33"/>
      <c r="DJ14" s="33"/>
      <c r="DK14" s="33"/>
      <c r="DL14" s="33"/>
      <c r="DM14" s="33"/>
      <c r="DN14" s="34" t="s">
        <v>127</v>
      </c>
      <c r="DO14" s="33" t="s">
        <v>151</v>
      </c>
      <c r="DP14" s="33" t="s">
        <v>151</v>
      </c>
      <c r="DQ14" s="33"/>
      <c r="DR14" s="33"/>
      <c r="DS14" s="33"/>
      <c r="DT14" s="33"/>
      <c r="DU14" s="33"/>
      <c r="DV14" s="33"/>
      <c r="DW14" s="33"/>
      <c r="DX14" s="33"/>
      <c r="DY14" s="33"/>
      <c r="DZ14" s="33"/>
      <c r="EA14" s="33"/>
      <c r="EB14" s="33"/>
      <c r="EC14" s="33" t="s">
        <v>155</v>
      </c>
      <c r="ED14" s="33"/>
      <c r="EE14" s="33"/>
      <c r="EF14" s="33"/>
      <c r="EG14" s="33"/>
      <c r="EH14" s="34" t="s">
        <v>127</v>
      </c>
      <c r="EI14" s="33" t="s">
        <v>151</v>
      </c>
      <c r="EJ14" s="33" t="s">
        <v>151</v>
      </c>
      <c r="EK14" s="33"/>
      <c r="EL14" s="33"/>
      <c r="EM14" s="33"/>
      <c r="EN14" s="33"/>
      <c r="EO14" s="33"/>
      <c r="EP14" s="33"/>
      <c r="EQ14" s="33"/>
      <c r="ER14" s="33"/>
      <c r="ES14" s="33"/>
      <c r="ET14" s="33"/>
      <c r="EU14" s="33"/>
      <c r="EV14" s="33"/>
      <c r="EW14" s="33"/>
      <c r="EX14" s="33"/>
      <c r="EY14" s="33"/>
      <c r="EZ14" s="33"/>
      <c r="FA14" s="33"/>
      <c r="FB14" s="34" t="s">
        <v>127</v>
      </c>
      <c r="FC14" s="33"/>
      <c r="FD14" s="33"/>
      <c r="FE14" s="33"/>
      <c r="FF14" s="33"/>
      <c r="FG14" s="33"/>
      <c r="FH14" s="33"/>
      <c r="FI14" s="33"/>
      <c r="FJ14" s="33"/>
      <c r="FK14" s="33"/>
      <c r="FL14" s="33"/>
      <c r="FM14" s="33"/>
      <c r="FN14" s="33"/>
      <c r="FO14" s="33"/>
      <c r="FP14" s="33"/>
      <c r="FQ14" s="33"/>
      <c r="FR14" s="33"/>
      <c r="FS14" s="33"/>
      <c r="FT14" s="33"/>
      <c r="FU14" s="33"/>
      <c r="FV14" s="34" t="s">
        <v>127</v>
      </c>
      <c r="FW14" s="33"/>
      <c r="FX14" s="33"/>
      <c r="FY14" s="33"/>
      <c r="FZ14" s="33"/>
      <c r="GA14" s="33"/>
      <c r="GB14" s="33"/>
      <c r="GC14" s="33"/>
      <c r="GD14" s="33"/>
      <c r="GE14" s="33"/>
      <c r="GF14" s="33"/>
      <c r="GG14" s="33"/>
      <c r="GH14" s="33"/>
      <c r="GI14" s="33"/>
      <c r="GJ14" s="33"/>
      <c r="GK14" s="33"/>
      <c r="GL14" s="33"/>
      <c r="GM14" s="33"/>
      <c r="GN14" s="33"/>
      <c r="GO14" s="33"/>
      <c r="GP14" s="34" t="s">
        <v>127</v>
      </c>
      <c r="GQ14" s="33"/>
      <c r="GR14" s="33"/>
      <c r="GS14" s="33"/>
      <c r="GT14" s="33"/>
      <c r="GU14" s="33"/>
      <c r="GV14" s="33"/>
      <c r="GW14" s="33" t="s">
        <v>156</v>
      </c>
      <c r="GX14" s="33"/>
      <c r="GY14" s="33"/>
      <c r="GZ14" s="33" t="s">
        <v>151</v>
      </c>
      <c r="HA14" s="33"/>
      <c r="HB14" s="33"/>
      <c r="HC14" s="33"/>
      <c r="HD14" s="33"/>
      <c r="HE14" s="33"/>
      <c r="HF14" s="33"/>
      <c r="HG14" s="33"/>
      <c r="HH14" s="33"/>
      <c r="HI14" s="33"/>
      <c r="HJ14" s="34" t="s">
        <v>127</v>
      </c>
      <c r="HK14" s="33"/>
      <c r="HL14" s="33"/>
      <c r="HM14" s="33"/>
      <c r="HN14" s="33"/>
      <c r="HO14" s="33"/>
      <c r="HP14" s="33"/>
      <c r="HQ14" s="33"/>
      <c r="HR14" s="33"/>
      <c r="HS14" s="33"/>
      <c r="HT14" s="33"/>
      <c r="HU14" s="33"/>
      <c r="HV14" s="33"/>
      <c r="HW14" s="33"/>
      <c r="HX14" s="33"/>
      <c r="HY14" s="33"/>
      <c r="HZ14" s="33"/>
      <c r="IA14" s="33"/>
      <c r="IB14" s="33"/>
      <c r="IC14" s="33"/>
      <c r="ID14" s="4"/>
      <c r="IF14" s="23"/>
      <c r="IG14" s="19"/>
      <c r="IH14" s="19"/>
      <c r="II14" s="32"/>
      <c r="IJ14" s="32"/>
      <c r="IK14" s="51"/>
      <c r="IL14" s="23"/>
      <c r="IM14" s="156" t="str">
        <f>$AN$4</f>
        <v>鷲崎</v>
      </c>
      <c r="IN14" s="1">
        <v>2</v>
      </c>
    </row>
    <row r="15" spans="1:248" ht="13.5" customHeight="1" x14ac:dyDescent="0.15">
      <c r="A15" s="235" t="s">
        <v>115</v>
      </c>
      <c r="B15" s="6" t="s">
        <v>5</v>
      </c>
      <c r="C15" s="7" t="str">
        <f>IF(P15=100,"*","")</f>
        <v>*</v>
      </c>
      <c r="D15" s="154" t="s">
        <v>129</v>
      </c>
      <c r="E15" s="124"/>
      <c r="F15" s="93">
        <v>44837</v>
      </c>
      <c r="G15" s="94">
        <v>1</v>
      </c>
      <c r="H15" s="94">
        <v>40</v>
      </c>
      <c r="I15" s="95">
        <v>290</v>
      </c>
      <c r="J15" s="96"/>
      <c r="K15" s="146" t="s">
        <v>160</v>
      </c>
      <c r="L15" s="158">
        <v>44837</v>
      </c>
      <c r="M15" s="159">
        <v>1</v>
      </c>
      <c r="N15" s="159">
        <v>40</v>
      </c>
      <c r="O15" s="160">
        <v>700</v>
      </c>
      <c r="P15" s="167">
        <v>100</v>
      </c>
      <c r="Q15" s="20"/>
      <c r="R15" s="55"/>
      <c r="S15" s="57"/>
      <c r="T15" s="57"/>
      <c r="U15" s="57"/>
      <c r="V15" s="63"/>
      <c r="W15" s="59"/>
      <c r="X15" s="59"/>
      <c r="Y15" s="59"/>
      <c r="Z15" s="59"/>
      <c r="AA15" s="59"/>
      <c r="AB15" s="59"/>
      <c r="AC15" s="59"/>
      <c r="AD15" s="59"/>
      <c r="AE15" s="59"/>
      <c r="AF15" s="59"/>
      <c r="AG15" s="61"/>
      <c r="AH15" s="61"/>
      <c r="AI15" s="59"/>
      <c r="AJ15" s="59"/>
      <c r="AK15" s="59"/>
      <c r="AL15" s="55"/>
      <c r="AM15" s="57"/>
      <c r="AN15" s="57"/>
      <c r="AO15" s="57"/>
      <c r="AP15" s="61"/>
      <c r="AQ15" s="61"/>
      <c r="AR15" s="61"/>
      <c r="AS15" s="61"/>
      <c r="AT15" s="61"/>
      <c r="AU15" s="61"/>
      <c r="AV15" s="59"/>
      <c r="AW15" s="59"/>
      <c r="AX15" s="59"/>
      <c r="AY15" s="59"/>
      <c r="AZ15" s="59"/>
      <c r="BA15" s="59"/>
      <c r="BB15" s="59"/>
      <c r="BC15" s="59"/>
      <c r="BD15" s="59"/>
      <c r="BE15" s="59"/>
      <c r="BF15" s="55"/>
      <c r="BG15" s="57"/>
      <c r="BH15" s="57"/>
      <c r="BI15" s="57"/>
      <c r="BJ15" s="61"/>
      <c r="BK15" s="59"/>
      <c r="BL15" s="59"/>
      <c r="BM15" s="59"/>
      <c r="BN15" s="59"/>
      <c r="BO15" s="59"/>
      <c r="BP15" s="59"/>
      <c r="BQ15" s="59"/>
      <c r="BR15" s="59"/>
      <c r="BS15" s="59"/>
      <c r="BT15" s="59"/>
      <c r="BU15" s="59"/>
      <c r="BV15" s="59"/>
      <c r="BW15" s="59"/>
      <c r="BX15" s="59"/>
      <c r="BY15" s="59"/>
      <c r="BZ15" s="55"/>
      <c r="CA15" s="57"/>
      <c r="CB15" s="57"/>
      <c r="CC15" s="63"/>
      <c r="CD15" s="63"/>
      <c r="CE15" s="59"/>
      <c r="CF15" s="59"/>
      <c r="CG15" s="59"/>
      <c r="CH15" s="59"/>
      <c r="CI15" s="59"/>
      <c r="CJ15" s="59"/>
      <c r="CK15" s="59"/>
      <c r="CL15" s="59"/>
      <c r="CM15" s="59"/>
      <c r="CN15" s="59"/>
      <c r="CO15" s="59"/>
      <c r="CP15" s="59"/>
      <c r="CQ15" s="59"/>
      <c r="CR15" s="59"/>
      <c r="CS15" s="59"/>
      <c r="CT15" s="55"/>
      <c r="CU15" s="63"/>
      <c r="CV15" s="63"/>
      <c r="CW15" s="63"/>
      <c r="CX15" s="63"/>
      <c r="CY15" s="59"/>
      <c r="CZ15" s="59"/>
      <c r="DA15" s="59"/>
      <c r="DB15" s="59"/>
      <c r="DC15" s="59"/>
      <c r="DD15" s="59"/>
      <c r="DE15" s="59"/>
      <c r="DF15" s="59"/>
      <c r="DG15" s="59"/>
      <c r="DH15" s="59"/>
      <c r="DI15" s="59"/>
      <c r="DJ15" s="59"/>
      <c r="DK15" s="59"/>
      <c r="DL15" s="59"/>
      <c r="DM15" s="59"/>
      <c r="DN15" s="55"/>
      <c r="DO15" s="57"/>
      <c r="DP15" s="57"/>
      <c r="DQ15" s="63"/>
      <c r="DR15" s="59"/>
      <c r="DS15" s="59"/>
      <c r="DT15" s="59"/>
      <c r="DU15" s="59"/>
      <c r="DV15" s="59"/>
      <c r="DW15" s="59"/>
      <c r="DX15" s="59"/>
      <c r="DY15" s="59"/>
      <c r="DZ15" s="59"/>
      <c r="EA15" s="59"/>
      <c r="EB15" s="59"/>
      <c r="EC15" s="61"/>
      <c r="ED15" s="61"/>
      <c r="EE15" s="59"/>
      <c r="EF15" s="59"/>
      <c r="EG15" s="59"/>
      <c r="EH15" s="55"/>
      <c r="EI15" s="57"/>
      <c r="EJ15" s="57"/>
      <c r="EK15" s="63"/>
      <c r="EL15" s="59"/>
      <c r="EM15" s="59"/>
      <c r="EN15" s="59"/>
      <c r="EO15" s="59"/>
      <c r="EP15" s="59"/>
      <c r="EQ15" s="59"/>
      <c r="ER15" s="59"/>
      <c r="ES15" s="59"/>
      <c r="ET15" s="59"/>
      <c r="EU15" s="59"/>
      <c r="EV15" s="59"/>
      <c r="EW15" s="59"/>
      <c r="EX15" s="59"/>
      <c r="EY15" s="59"/>
      <c r="EZ15" s="59"/>
      <c r="FA15" s="59"/>
      <c r="FB15" s="55"/>
      <c r="FC15" s="63"/>
      <c r="FD15" s="63"/>
      <c r="FE15" s="63"/>
      <c r="FF15" s="59"/>
      <c r="FG15" s="59"/>
      <c r="FH15" s="59"/>
      <c r="FI15" s="59"/>
      <c r="FJ15" s="59"/>
      <c r="FK15" s="59"/>
      <c r="FL15" s="59"/>
      <c r="FM15" s="59"/>
      <c r="FN15" s="59"/>
      <c r="FO15" s="59"/>
      <c r="FP15" s="59"/>
      <c r="FQ15" s="59"/>
      <c r="FR15" s="59"/>
      <c r="FS15" s="59"/>
      <c r="FT15" s="59"/>
      <c r="FU15" s="59"/>
      <c r="FV15" s="55"/>
      <c r="FW15" s="63"/>
      <c r="FX15" s="63"/>
      <c r="FY15" s="63"/>
      <c r="FZ15" s="59"/>
      <c r="GA15" s="59"/>
      <c r="GB15" s="59"/>
      <c r="GC15" s="59"/>
      <c r="GD15" s="59"/>
      <c r="GE15" s="59"/>
      <c r="GF15" s="59"/>
      <c r="GG15" s="59"/>
      <c r="GH15" s="59"/>
      <c r="GI15" s="59"/>
      <c r="GJ15" s="59"/>
      <c r="GK15" s="59"/>
      <c r="GL15" s="59"/>
      <c r="GM15" s="59"/>
      <c r="GN15" s="59"/>
      <c r="GO15" s="59"/>
      <c r="GP15" s="55"/>
      <c r="GQ15" s="63"/>
      <c r="GR15" s="63"/>
      <c r="GS15" s="63"/>
      <c r="GT15" s="59"/>
      <c r="GU15" s="59"/>
      <c r="GV15" s="59"/>
      <c r="GW15" s="59"/>
      <c r="GX15" s="59"/>
      <c r="GY15" s="59"/>
      <c r="GZ15" s="61"/>
      <c r="HA15" s="61"/>
      <c r="HB15" s="61"/>
      <c r="HC15" s="61"/>
      <c r="HD15" s="61"/>
      <c r="HE15" s="61"/>
      <c r="HF15" s="61"/>
      <c r="HG15" s="61"/>
      <c r="HH15" s="61"/>
      <c r="HI15" s="61"/>
      <c r="HJ15" s="55"/>
      <c r="HK15" s="57"/>
      <c r="HL15" s="57"/>
      <c r="HM15" s="57"/>
      <c r="HN15" s="61"/>
      <c r="HO15" s="61"/>
      <c r="HP15" s="61"/>
      <c r="HQ15" s="61"/>
      <c r="HR15" s="61"/>
      <c r="HS15" s="61"/>
      <c r="HT15" s="61"/>
      <c r="HU15" s="61"/>
      <c r="HV15" s="61"/>
      <c r="HW15" s="61"/>
      <c r="HX15" s="61"/>
      <c r="HY15" s="61"/>
      <c r="HZ15" s="61"/>
      <c r="IA15" s="61"/>
      <c r="IB15" s="61"/>
      <c r="IC15" s="61"/>
      <c r="ID15" s="4"/>
      <c r="IF15" s="23"/>
      <c r="IG15" s="28"/>
      <c r="IH15" s="28" t="s">
        <v>94</v>
      </c>
      <c r="II15" s="29" t="str">
        <f t="shared" ref="II15:II35" si="2">IF(E15&lt;&gt;"",VLOOKUP(E15,$IM$21:$IN$23,2,FALSE),"")</f>
        <v/>
      </c>
      <c r="IJ15" s="29" t="str">
        <f t="shared" ref="IJ15:IJ27" si="3">IF(II15&lt;&gt;"","ColorTeam"&amp;II15, "ColorNone")</f>
        <v>ColorNone</v>
      </c>
      <c r="IK15" s="8">
        <f t="shared" ref="IK15:IK35" si="4">IF(O15="",I15,O15)</f>
        <v>700</v>
      </c>
      <c r="IL15" s="23"/>
      <c r="IM15" s="156" t="str">
        <f>$AN$5</f>
        <v>瓜生</v>
      </c>
      <c r="IN15" s="1">
        <v>3</v>
      </c>
    </row>
    <row r="16" spans="1:248" x14ac:dyDescent="0.15">
      <c r="A16" s="236"/>
      <c r="B16" s="6" t="s">
        <v>77</v>
      </c>
      <c r="C16" s="7" t="str">
        <f t="shared" ref="C16:C92" si="5">IF(P16=100,"*","")</f>
        <v>*</v>
      </c>
      <c r="D16" s="172" t="s">
        <v>138</v>
      </c>
      <c r="E16" s="124"/>
      <c r="F16" s="93">
        <v>44837</v>
      </c>
      <c r="G16" s="94">
        <v>2</v>
      </c>
      <c r="H16" s="94">
        <v>0</v>
      </c>
      <c r="I16" s="95">
        <v>15</v>
      </c>
      <c r="J16" s="96"/>
      <c r="K16" s="146" t="s">
        <v>158</v>
      </c>
      <c r="L16" s="158">
        <v>44837</v>
      </c>
      <c r="M16" s="159">
        <v>2</v>
      </c>
      <c r="N16" s="159">
        <v>10</v>
      </c>
      <c r="O16" s="160">
        <v>20</v>
      </c>
      <c r="P16" s="167">
        <v>100</v>
      </c>
      <c r="Q16" s="21"/>
      <c r="R16" s="56"/>
      <c r="S16" s="58"/>
      <c r="T16" s="58"/>
      <c r="U16" s="58"/>
      <c r="V16" s="64"/>
      <c r="W16" s="60"/>
      <c r="X16" s="60"/>
      <c r="Y16" s="60"/>
      <c r="Z16" s="60"/>
      <c r="AA16" s="60"/>
      <c r="AB16" s="60"/>
      <c r="AC16" s="60"/>
      <c r="AD16" s="60"/>
      <c r="AE16" s="60"/>
      <c r="AF16" s="60"/>
      <c r="AG16" s="62"/>
      <c r="AH16" s="62"/>
      <c r="AI16" s="60"/>
      <c r="AJ16" s="60"/>
      <c r="AK16" s="60"/>
      <c r="AL16" s="56"/>
      <c r="AM16" s="58"/>
      <c r="AN16" s="58"/>
      <c r="AO16" s="58"/>
      <c r="AP16" s="62"/>
      <c r="AQ16" s="62"/>
      <c r="AR16" s="62"/>
      <c r="AS16" s="62"/>
      <c r="AT16" s="62"/>
      <c r="AU16" s="62"/>
      <c r="AV16" s="60"/>
      <c r="AW16" s="60"/>
      <c r="AX16" s="60"/>
      <c r="AY16" s="60"/>
      <c r="AZ16" s="60"/>
      <c r="BA16" s="60"/>
      <c r="BB16" s="60"/>
      <c r="BC16" s="60"/>
      <c r="BD16" s="60"/>
      <c r="BE16" s="60"/>
      <c r="BF16" s="56"/>
      <c r="BG16" s="58"/>
      <c r="BH16" s="58"/>
      <c r="BI16" s="58"/>
      <c r="BJ16" s="62"/>
      <c r="BK16" s="60"/>
      <c r="BL16" s="60"/>
      <c r="BM16" s="60"/>
      <c r="BN16" s="60"/>
      <c r="BO16" s="60"/>
      <c r="BP16" s="60"/>
      <c r="BQ16" s="60"/>
      <c r="BR16" s="60"/>
      <c r="BS16" s="60"/>
      <c r="BT16" s="60"/>
      <c r="BU16" s="60"/>
      <c r="BV16" s="60"/>
      <c r="BW16" s="60"/>
      <c r="BX16" s="60"/>
      <c r="BY16" s="60"/>
      <c r="BZ16" s="56"/>
      <c r="CA16" s="58"/>
      <c r="CB16" s="58"/>
      <c r="CC16" s="64"/>
      <c r="CD16" s="64"/>
      <c r="CE16" s="60"/>
      <c r="CF16" s="60"/>
      <c r="CG16" s="60"/>
      <c r="CH16" s="60"/>
      <c r="CI16" s="60"/>
      <c r="CJ16" s="60"/>
      <c r="CK16" s="60"/>
      <c r="CL16" s="60"/>
      <c r="CM16" s="60"/>
      <c r="CN16" s="60"/>
      <c r="CO16" s="60"/>
      <c r="CP16" s="60"/>
      <c r="CQ16" s="60"/>
      <c r="CR16" s="60"/>
      <c r="CS16" s="60"/>
      <c r="CT16" s="56"/>
      <c r="CU16" s="64"/>
      <c r="CV16" s="64"/>
      <c r="CW16" s="64"/>
      <c r="CX16" s="64"/>
      <c r="CY16" s="60"/>
      <c r="CZ16" s="60"/>
      <c r="DA16" s="60"/>
      <c r="DB16" s="60"/>
      <c r="DC16" s="60"/>
      <c r="DD16" s="60"/>
      <c r="DE16" s="60"/>
      <c r="DF16" s="60"/>
      <c r="DG16" s="60"/>
      <c r="DH16" s="60"/>
      <c r="DI16" s="60"/>
      <c r="DJ16" s="60"/>
      <c r="DK16" s="60"/>
      <c r="DL16" s="60"/>
      <c r="DM16" s="60"/>
      <c r="DN16" s="56"/>
      <c r="DO16" s="58"/>
      <c r="DP16" s="58"/>
      <c r="DQ16" s="64"/>
      <c r="DR16" s="60"/>
      <c r="DS16" s="60"/>
      <c r="DT16" s="60"/>
      <c r="DU16" s="60"/>
      <c r="DV16" s="60"/>
      <c r="DW16" s="60"/>
      <c r="DX16" s="60"/>
      <c r="DY16" s="60"/>
      <c r="DZ16" s="60"/>
      <c r="EA16" s="60"/>
      <c r="EB16" s="60"/>
      <c r="EC16" s="62"/>
      <c r="ED16" s="62"/>
      <c r="EE16" s="60"/>
      <c r="EF16" s="60"/>
      <c r="EG16" s="60"/>
      <c r="EH16" s="56"/>
      <c r="EI16" s="58"/>
      <c r="EJ16" s="58"/>
      <c r="EK16" s="64"/>
      <c r="EL16" s="60"/>
      <c r="EM16" s="60"/>
      <c r="EN16" s="60"/>
      <c r="EO16" s="60"/>
      <c r="EP16" s="60"/>
      <c r="EQ16" s="60"/>
      <c r="ER16" s="60"/>
      <c r="ES16" s="60"/>
      <c r="ET16" s="60"/>
      <c r="EU16" s="60"/>
      <c r="EV16" s="60"/>
      <c r="EW16" s="60"/>
      <c r="EX16" s="60"/>
      <c r="EY16" s="60"/>
      <c r="EZ16" s="60"/>
      <c r="FA16" s="60"/>
      <c r="FB16" s="56"/>
      <c r="FC16" s="64"/>
      <c r="FD16" s="64"/>
      <c r="FE16" s="64"/>
      <c r="FF16" s="60"/>
      <c r="FG16" s="60"/>
      <c r="FH16" s="60"/>
      <c r="FI16" s="60"/>
      <c r="FJ16" s="60"/>
      <c r="FK16" s="60"/>
      <c r="FL16" s="60"/>
      <c r="FM16" s="60"/>
      <c r="FN16" s="60"/>
      <c r="FO16" s="60"/>
      <c r="FP16" s="60"/>
      <c r="FQ16" s="60"/>
      <c r="FR16" s="60"/>
      <c r="FS16" s="60"/>
      <c r="FT16" s="60"/>
      <c r="FU16" s="60"/>
      <c r="FV16" s="56"/>
      <c r="FW16" s="64"/>
      <c r="FX16" s="64"/>
      <c r="FY16" s="64"/>
      <c r="FZ16" s="60"/>
      <c r="GA16" s="60"/>
      <c r="GB16" s="60"/>
      <c r="GC16" s="60"/>
      <c r="GD16" s="60"/>
      <c r="GE16" s="60"/>
      <c r="GF16" s="60"/>
      <c r="GG16" s="60"/>
      <c r="GH16" s="60"/>
      <c r="GI16" s="60"/>
      <c r="GJ16" s="60"/>
      <c r="GK16" s="60"/>
      <c r="GL16" s="60"/>
      <c r="GM16" s="60"/>
      <c r="GN16" s="60"/>
      <c r="GO16" s="60"/>
      <c r="GP16" s="56"/>
      <c r="GQ16" s="64"/>
      <c r="GR16" s="64"/>
      <c r="GS16" s="64"/>
      <c r="GT16" s="60"/>
      <c r="GU16" s="60"/>
      <c r="GV16" s="60"/>
      <c r="GW16" s="60"/>
      <c r="GX16" s="60"/>
      <c r="GY16" s="60"/>
      <c r="GZ16" s="62"/>
      <c r="HA16" s="62"/>
      <c r="HB16" s="62"/>
      <c r="HC16" s="62"/>
      <c r="HD16" s="62"/>
      <c r="HE16" s="62"/>
      <c r="HF16" s="62"/>
      <c r="HG16" s="62"/>
      <c r="HH16" s="62"/>
      <c r="HI16" s="62"/>
      <c r="HJ16" s="56"/>
      <c r="HK16" s="58"/>
      <c r="HL16" s="58"/>
      <c r="HM16" s="58"/>
      <c r="HN16" s="62"/>
      <c r="HO16" s="62"/>
      <c r="HP16" s="62"/>
      <c r="HQ16" s="62"/>
      <c r="HR16" s="62"/>
      <c r="HS16" s="62"/>
      <c r="HT16" s="62"/>
      <c r="HU16" s="62"/>
      <c r="HV16" s="62"/>
      <c r="HW16" s="62"/>
      <c r="HX16" s="62"/>
      <c r="HY16" s="62"/>
      <c r="HZ16" s="62"/>
      <c r="IA16" s="62"/>
      <c r="IB16" s="62"/>
      <c r="IC16" s="62"/>
      <c r="ID16" s="4"/>
      <c r="IF16" s="23"/>
      <c r="IG16" s="28"/>
      <c r="IH16" s="28" t="s">
        <v>94</v>
      </c>
      <c r="II16" s="29" t="str">
        <f t="shared" si="2"/>
        <v/>
      </c>
      <c r="IJ16" s="29" t="str">
        <f t="shared" si="3"/>
        <v>ColorNone</v>
      </c>
      <c r="IK16" s="8">
        <f t="shared" si="4"/>
        <v>20</v>
      </c>
      <c r="IL16" s="23"/>
      <c r="IM16" s="156" t="str">
        <f>$AN$6</f>
        <v>江頭</v>
      </c>
      <c r="IN16" s="1">
        <v>4</v>
      </c>
    </row>
    <row r="17" spans="1:248" x14ac:dyDescent="0.15">
      <c r="A17" s="236"/>
      <c r="B17" s="6" t="s">
        <v>78</v>
      </c>
      <c r="C17" s="7" t="str">
        <f t="shared" si="5"/>
        <v>*</v>
      </c>
      <c r="D17" s="173" t="s">
        <v>139</v>
      </c>
      <c r="E17" s="124"/>
      <c r="F17" s="93">
        <v>44851</v>
      </c>
      <c r="G17" s="94">
        <v>2</v>
      </c>
      <c r="H17" s="94">
        <v>10</v>
      </c>
      <c r="I17" s="95">
        <v>20</v>
      </c>
      <c r="J17" s="96"/>
      <c r="K17" s="146" t="s">
        <v>166</v>
      </c>
      <c r="L17" s="158">
        <v>44851</v>
      </c>
      <c r="M17" s="159">
        <v>2</v>
      </c>
      <c r="N17" s="159">
        <v>0</v>
      </c>
      <c r="O17" s="160">
        <v>20</v>
      </c>
      <c r="P17" s="167">
        <v>100</v>
      </c>
      <c r="Q17" s="21"/>
      <c r="R17" s="56"/>
      <c r="S17" s="58"/>
      <c r="T17" s="58"/>
      <c r="U17" s="58"/>
      <c r="V17" s="64"/>
      <c r="W17" s="60"/>
      <c r="X17" s="60"/>
      <c r="Y17" s="60"/>
      <c r="Z17" s="60"/>
      <c r="AA17" s="60"/>
      <c r="AB17" s="60"/>
      <c r="AC17" s="60"/>
      <c r="AD17" s="60"/>
      <c r="AE17" s="60"/>
      <c r="AF17" s="60"/>
      <c r="AG17" s="62"/>
      <c r="AH17" s="62"/>
      <c r="AI17" s="60"/>
      <c r="AJ17" s="60"/>
      <c r="AK17" s="60"/>
      <c r="AL17" s="56"/>
      <c r="AM17" s="58"/>
      <c r="AN17" s="58"/>
      <c r="AO17" s="58"/>
      <c r="AP17" s="62"/>
      <c r="AQ17" s="62"/>
      <c r="AR17" s="62"/>
      <c r="AS17" s="62"/>
      <c r="AT17" s="62"/>
      <c r="AU17" s="62"/>
      <c r="AV17" s="60"/>
      <c r="AW17" s="60"/>
      <c r="AX17" s="60"/>
      <c r="AY17" s="60"/>
      <c r="AZ17" s="60"/>
      <c r="BA17" s="60"/>
      <c r="BB17" s="60"/>
      <c r="BC17" s="60"/>
      <c r="BD17" s="60"/>
      <c r="BE17" s="60"/>
      <c r="BF17" s="56"/>
      <c r="BG17" s="58"/>
      <c r="BH17" s="58"/>
      <c r="BI17" s="58"/>
      <c r="BJ17" s="62"/>
      <c r="BK17" s="60"/>
      <c r="BL17" s="60"/>
      <c r="BM17" s="60"/>
      <c r="BN17" s="60"/>
      <c r="BO17" s="60"/>
      <c r="BP17" s="60"/>
      <c r="BQ17" s="60"/>
      <c r="BR17" s="60"/>
      <c r="BS17" s="60"/>
      <c r="BT17" s="60"/>
      <c r="BU17" s="60"/>
      <c r="BV17" s="60"/>
      <c r="BW17" s="60"/>
      <c r="BX17" s="60"/>
      <c r="BY17" s="60"/>
      <c r="BZ17" s="56"/>
      <c r="CA17" s="58"/>
      <c r="CB17" s="58"/>
      <c r="CC17" s="64"/>
      <c r="CD17" s="64"/>
      <c r="CE17" s="60"/>
      <c r="CF17" s="60"/>
      <c r="CG17" s="60"/>
      <c r="CH17" s="60"/>
      <c r="CI17" s="60"/>
      <c r="CJ17" s="60"/>
      <c r="CK17" s="60"/>
      <c r="CL17" s="60"/>
      <c r="CM17" s="60"/>
      <c r="CN17" s="60"/>
      <c r="CO17" s="60"/>
      <c r="CP17" s="60"/>
      <c r="CQ17" s="60"/>
      <c r="CR17" s="60"/>
      <c r="CS17" s="60"/>
      <c r="CT17" s="56"/>
      <c r="CU17" s="64"/>
      <c r="CV17" s="64"/>
      <c r="CW17" s="64"/>
      <c r="CX17" s="64"/>
      <c r="CY17" s="60"/>
      <c r="CZ17" s="60"/>
      <c r="DA17" s="60"/>
      <c r="DB17" s="60"/>
      <c r="DC17" s="60"/>
      <c r="DD17" s="60"/>
      <c r="DE17" s="60"/>
      <c r="DF17" s="60"/>
      <c r="DG17" s="60"/>
      <c r="DH17" s="60"/>
      <c r="DI17" s="60"/>
      <c r="DJ17" s="60"/>
      <c r="DK17" s="60"/>
      <c r="DL17" s="60"/>
      <c r="DM17" s="60"/>
      <c r="DN17" s="56"/>
      <c r="DO17" s="58"/>
      <c r="DP17" s="58"/>
      <c r="DQ17" s="64"/>
      <c r="DR17" s="60"/>
      <c r="DS17" s="60"/>
      <c r="DT17" s="60"/>
      <c r="DU17" s="60"/>
      <c r="DV17" s="60"/>
      <c r="DW17" s="60"/>
      <c r="DX17" s="60"/>
      <c r="DY17" s="60"/>
      <c r="DZ17" s="60"/>
      <c r="EA17" s="60"/>
      <c r="EB17" s="60"/>
      <c r="EC17" s="62"/>
      <c r="ED17" s="62"/>
      <c r="EE17" s="60"/>
      <c r="EF17" s="60"/>
      <c r="EG17" s="60"/>
      <c r="EH17" s="56"/>
      <c r="EI17" s="58"/>
      <c r="EJ17" s="58"/>
      <c r="EK17" s="64"/>
      <c r="EL17" s="60"/>
      <c r="EM17" s="60"/>
      <c r="EN17" s="60"/>
      <c r="EO17" s="60"/>
      <c r="EP17" s="60"/>
      <c r="EQ17" s="60"/>
      <c r="ER17" s="60"/>
      <c r="ES17" s="60"/>
      <c r="ET17" s="60"/>
      <c r="EU17" s="60"/>
      <c r="EV17" s="60"/>
      <c r="EW17" s="60"/>
      <c r="EX17" s="60"/>
      <c r="EY17" s="60"/>
      <c r="EZ17" s="60"/>
      <c r="FA17" s="60"/>
      <c r="FB17" s="56"/>
      <c r="FC17" s="64"/>
      <c r="FD17" s="64"/>
      <c r="FE17" s="64"/>
      <c r="FF17" s="60"/>
      <c r="FG17" s="60"/>
      <c r="FH17" s="60"/>
      <c r="FI17" s="60"/>
      <c r="FJ17" s="60"/>
      <c r="FK17" s="60"/>
      <c r="FL17" s="60"/>
      <c r="FM17" s="60"/>
      <c r="FN17" s="60"/>
      <c r="FO17" s="60"/>
      <c r="FP17" s="60"/>
      <c r="FQ17" s="60"/>
      <c r="FR17" s="60"/>
      <c r="FS17" s="60"/>
      <c r="FT17" s="60"/>
      <c r="FU17" s="60"/>
      <c r="FV17" s="56"/>
      <c r="FW17" s="64"/>
      <c r="FX17" s="64"/>
      <c r="FY17" s="64"/>
      <c r="FZ17" s="60"/>
      <c r="GA17" s="60"/>
      <c r="GB17" s="60"/>
      <c r="GC17" s="60"/>
      <c r="GD17" s="60"/>
      <c r="GE17" s="60"/>
      <c r="GF17" s="60"/>
      <c r="GG17" s="60"/>
      <c r="GH17" s="60"/>
      <c r="GI17" s="60"/>
      <c r="GJ17" s="60"/>
      <c r="GK17" s="60"/>
      <c r="GL17" s="60"/>
      <c r="GM17" s="60"/>
      <c r="GN17" s="60"/>
      <c r="GO17" s="60"/>
      <c r="GP17" s="56"/>
      <c r="GQ17" s="64"/>
      <c r="GR17" s="64"/>
      <c r="GS17" s="64"/>
      <c r="GT17" s="60"/>
      <c r="GU17" s="60"/>
      <c r="GV17" s="60"/>
      <c r="GW17" s="60"/>
      <c r="GX17" s="60"/>
      <c r="GY17" s="60"/>
      <c r="GZ17" s="62"/>
      <c r="HA17" s="62"/>
      <c r="HB17" s="62"/>
      <c r="HC17" s="62"/>
      <c r="HD17" s="62"/>
      <c r="HE17" s="62"/>
      <c r="HF17" s="62"/>
      <c r="HG17" s="62"/>
      <c r="HH17" s="62"/>
      <c r="HI17" s="62"/>
      <c r="HJ17" s="56"/>
      <c r="HK17" s="58"/>
      <c r="HL17" s="58"/>
      <c r="HM17" s="58"/>
      <c r="HN17" s="62"/>
      <c r="HO17" s="62"/>
      <c r="HP17" s="62"/>
      <c r="HQ17" s="62"/>
      <c r="HR17" s="62"/>
      <c r="HS17" s="62"/>
      <c r="HT17" s="62"/>
      <c r="HU17" s="62"/>
      <c r="HV17" s="62"/>
      <c r="HW17" s="62"/>
      <c r="HX17" s="62"/>
      <c r="HY17" s="62"/>
      <c r="HZ17" s="62"/>
      <c r="IA17" s="62"/>
      <c r="IB17" s="62"/>
      <c r="IC17" s="62"/>
      <c r="ID17" s="4"/>
      <c r="IF17" s="23"/>
      <c r="IG17" s="28"/>
      <c r="IH17" s="28" t="s">
        <v>94</v>
      </c>
      <c r="II17" s="29" t="str">
        <f t="shared" si="2"/>
        <v/>
      </c>
      <c r="IJ17" s="29" t="str">
        <f t="shared" si="3"/>
        <v>ColorNone</v>
      </c>
      <c r="IK17" s="8">
        <f t="shared" si="4"/>
        <v>20</v>
      </c>
      <c r="IL17" s="23"/>
      <c r="IM17" s="156" t="str">
        <f>$BH$3</f>
        <v>唐川</v>
      </c>
      <c r="IN17" s="1">
        <v>5</v>
      </c>
    </row>
    <row r="18" spans="1:248" x14ac:dyDescent="0.15">
      <c r="A18" s="236"/>
      <c r="B18" s="6" t="s">
        <v>79</v>
      </c>
      <c r="C18" s="7" t="str">
        <f t="shared" si="5"/>
        <v>*</v>
      </c>
      <c r="D18" s="154" t="s">
        <v>130</v>
      </c>
      <c r="E18" s="124"/>
      <c r="F18" s="93">
        <v>44851</v>
      </c>
      <c r="G18" s="94">
        <v>2</v>
      </c>
      <c r="H18" s="94">
        <v>20</v>
      </c>
      <c r="I18" s="95">
        <v>300</v>
      </c>
      <c r="J18" s="96"/>
      <c r="K18" s="146" t="s">
        <v>171</v>
      </c>
      <c r="L18" s="158">
        <v>44851</v>
      </c>
      <c r="M18" s="159">
        <v>2</v>
      </c>
      <c r="N18" s="159">
        <v>20</v>
      </c>
      <c r="O18" s="160">
        <v>550</v>
      </c>
      <c r="P18" s="167">
        <v>100</v>
      </c>
      <c r="Q18" s="21"/>
      <c r="R18" s="56"/>
      <c r="S18" s="58"/>
      <c r="T18" s="58"/>
      <c r="U18" s="58"/>
      <c r="V18" s="64"/>
      <c r="W18" s="60"/>
      <c r="X18" s="60"/>
      <c r="Y18" s="60"/>
      <c r="Z18" s="60"/>
      <c r="AA18" s="60"/>
      <c r="AB18" s="60"/>
      <c r="AC18" s="60"/>
      <c r="AD18" s="60"/>
      <c r="AE18" s="60"/>
      <c r="AF18" s="60"/>
      <c r="AG18" s="62"/>
      <c r="AH18" s="62"/>
      <c r="AI18" s="60"/>
      <c r="AJ18" s="60"/>
      <c r="AK18" s="60"/>
      <c r="AL18" s="56"/>
      <c r="AM18" s="58"/>
      <c r="AN18" s="58"/>
      <c r="AO18" s="58"/>
      <c r="AP18" s="62"/>
      <c r="AQ18" s="62"/>
      <c r="AR18" s="62"/>
      <c r="AS18" s="62"/>
      <c r="AT18" s="62"/>
      <c r="AU18" s="62"/>
      <c r="AV18" s="60"/>
      <c r="AW18" s="60"/>
      <c r="AX18" s="60"/>
      <c r="AY18" s="60"/>
      <c r="AZ18" s="60"/>
      <c r="BA18" s="60"/>
      <c r="BB18" s="60"/>
      <c r="BC18" s="60"/>
      <c r="BD18" s="60"/>
      <c r="BE18" s="60"/>
      <c r="BF18" s="56"/>
      <c r="BG18" s="58"/>
      <c r="BH18" s="58"/>
      <c r="BI18" s="58"/>
      <c r="BJ18" s="62"/>
      <c r="BK18" s="60"/>
      <c r="BL18" s="60"/>
      <c r="BM18" s="60"/>
      <c r="BN18" s="60"/>
      <c r="BO18" s="60"/>
      <c r="BP18" s="60"/>
      <c r="BQ18" s="60"/>
      <c r="BR18" s="60"/>
      <c r="BS18" s="60"/>
      <c r="BT18" s="60"/>
      <c r="BU18" s="60"/>
      <c r="BV18" s="60"/>
      <c r="BW18" s="60"/>
      <c r="BX18" s="60"/>
      <c r="BY18" s="60"/>
      <c r="BZ18" s="56"/>
      <c r="CA18" s="58"/>
      <c r="CB18" s="58"/>
      <c r="CC18" s="64"/>
      <c r="CD18" s="64"/>
      <c r="CE18" s="60"/>
      <c r="CF18" s="60"/>
      <c r="CG18" s="60"/>
      <c r="CH18" s="60"/>
      <c r="CI18" s="60"/>
      <c r="CJ18" s="60"/>
      <c r="CK18" s="60"/>
      <c r="CL18" s="60"/>
      <c r="CM18" s="60"/>
      <c r="CN18" s="60"/>
      <c r="CO18" s="60"/>
      <c r="CP18" s="60"/>
      <c r="CQ18" s="60"/>
      <c r="CR18" s="60"/>
      <c r="CS18" s="60"/>
      <c r="CT18" s="56"/>
      <c r="CU18" s="64"/>
      <c r="CV18" s="64"/>
      <c r="CW18" s="64"/>
      <c r="CX18" s="64"/>
      <c r="CY18" s="60"/>
      <c r="CZ18" s="60"/>
      <c r="DA18" s="60"/>
      <c r="DB18" s="60"/>
      <c r="DC18" s="60"/>
      <c r="DD18" s="60"/>
      <c r="DE18" s="60"/>
      <c r="DF18" s="60"/>
      <c r="DG18" s="60"/>
      <c r="DH18" s="60"/>
      <c r="DI18" s="60"/>
      <c r="DJ18" s="60"/>
      <c r="DK18" s="60"/>
      <c r="DL18" s="60"/>
      <c r="DM18" s="60"/>
      <c r="DN18" s="56"/>
      <c r="DO18" s="58"/>
      <c r="DP18" s="58"/>
      <c r="DQ18" s="64"/>
      <c r="DR18" s="60"/>
      <c r="DS18" s="60"/>
      <c r="DT18" s="60"/>
      <c r="DU18" s="60"/>
      <c r="DV18" s="60"/>
      <c r="DW18" s="60"/>
      <c r="DX18" s="60"/>
      <c r="DY18" s="60"/>
      <c r="DZ18" s="60"/>
      <c r="EA18" s="60"/>
      <c r="EB18" s="60"/>
      <c r="EC18" s="62"/>
      <c r="ED18" s="62"/>
      <c r="EE18" s="60"/>
      <c r="EF18" s="60"/>
      <c r="EG18" s="60"/>
      <c r="EH18" s="56"/>
      <c r="EI18" s="58"/>
      <c r="EJ18" s="58"/>
      <c r="EK18" s="64"/>
      <c r="EL18" s="60"/>
      <c r="EM18" s="60"/>
      <c r="EN18" s="60"/>
      <c r="EO18" s="60"/>
      <c r="EP18" s="60"/>
      <c r="EQ18" s="60"/>
      <c r="ER18" s="60"/>
      <c r="ES18" s="60"/>
      <c r="ET18" s="60"/>
      <c r="EU18" s="60"/>
      <c r="EV18" s="60"/>
      <c r="EW18" s="60"/>
      <c r="EX18" s="60"/>
      <c r="EY18" s="60"/>
      <c r="EZ18" s="60"/>
      <c r="FA18" s="60"/>
      <c r="FB18" s="56"/>
      <c r="FC18" s="64"/>
      <c r="FD18" s="64"/>
      <c r="FE18" s="64"/>
      <c r="FF18" s="60"/>
      <c r="FG18" s="60"/>
      <c r="FH18" s="60"/>
      <c r="FI18" s="60"/>
      <c r="FJ18" s="60"/>
      <c r="FK18" s="60"/>
      <c r="FL18" s="60"/>
      <c r="FM18" s="60"/>
      <c r="FN18" s="60"/>
      <c r="FO18" s="60"/>
      <c r="FP18" s="60"/>
      <c r="FQ18" s="60"/>
      <c r="FR18" s="60"/>
      <c r="FS18" s="60"/>
      <c r="FT18" s="60"/>
      <c r="FU18" s="60"/>
      <c r="FV18" s="56"/>
      <c r="FW18" s="64"/>
      <c r="FX18" s="64"/>
      <c r="FY18" s="64"/>
      <c r="FZ18" s="60"/>
      <c r="GA18" s="60"/>
      <c r="GB18" s="60"/>
      <c r="GC18" s="60"/>
      <c r="GD18" s="60"/>
      <c r="GE18" s="60"/>
      <c r="GF18" s="60"/>
      <c r="GG18" s="60"/>
      <c r="GH18" s="60"/>
      <c r="GI18" s="60"/>
      <c r="GJ18" s="60"/>
      <c r="GK18" s="60"/>
      <c r="GL18" s="60"/>
      <c r="GM18" s="60"/>
      <c r="GN18" s="60"/>
      <c r="GO18" s="60"/>
      <c r="GP18" s="56"/>
      <c r="GQ18" s="64"/>
      <c r="GR18" s="64"/>
      <c r="GS18" s="64"/>
      <c r="GT18" s="60"/>
      <c r="GU18" s="60"/>
      <c r="GV18" s="60"/>
      <c r="GW18" s="60"/>
      <c r="GX18" s="60"/>
      <c r="GY18" s="60"/>
      <c r="GZ18" s="62"/>
      <c r="HA18" s="62"/>
      <c r="HB18" s="62"/>
      <c r="HC18" s="62"/>
      <c r="HD18" s="62"/>
      <c r="HE18" s="62"/>
      <c r="HF18" s="62"/>
      <c r="HG18" s="62"/>
      <c r="HH18" s="62"/>
      <c r="HI18" s="62"/>
      <c r="HJ18" s="56"/>
      <c r="HK18" s="58"/>
      <c r="HL18" s="58"/>
      <c r="HM18" s="58"/>
      <c r="HN18" s="62"/>
      <c r="HO18" s="62"/>
      <c r="HP18" s="62"/>
      <c r="HQ18" s="62"/>
      <c r="HR18" s="62"/>
      <c r="HS18" s="62"/>
      <c r="HT18" s="62"/>
      <c r="HU18" s="62"/>
      <c r="HV18" s="62"/>
      <c r="HW18" s="62"/>
      <c r="HX18" s="62"/>
      <c r="HY18" s="62"/>
      <c r="HZ18" s="62"/>
      <c r="IA18" s="62"/>
      <c r="IB18" s="62"/>
      <c r="IC18" s="62"/>
      <c r="ID18" s="4"/>
      <c r="IF18" s="23"/>
      <c r="IG18" s="28"/>
      <c r="IH18" s="28" t="s">
        <v>94</v>
      </c>
      <c r="II18" s="29" t="str">
        <f t="shared" si="2"/>
        <v/>
      </c>
      <c r="IJ18" s="29" t="str">
        <f t="shared" si="3"/>
        <v>ColorNone</v>
      </c>
      <c r="IK18" s="8">
        <f t="shared" si="4"/>
        <v>550</v>
      </c>
      <c r="IL18" s="23"/>
      <c r="IM18" s="156" t="str">
        <f>$BH$4</f>
        <v>池田</v>
      </c>
      <c r="IN18" s="1">
        <v>6</v>
      </c>
    </row>
    <row r="19" spans="1:248" x14ac:dyDescent="0.15">
      <c r="A19" s="236"/>
      <c r="B19" s="6" t="s">
        <v>80</v>
      </c>
      <c r="C19" s="7" t="str">
        <f t="shared" si="5"/>
        <v>*</v>
      </c>
      <c r="D19" s="154" t="s">
        <v>140</v>
      </c>
      <c r="E19" s="124"/>
      <c r="F19" s="93">
        <v>44858</v>
      </c>
      <c r="G19" s="94">
        <v>2</v>
      </c>
      <c r="H19" s="94">
        <v>0</v>
      </c>
      <c r="I19" s="95">
        <v>20</v>
      </c>
      <c r="J19" s="96"/>
      <c r="K19" s="146" t="s">
        <v>167</v>
      </c>
      <c r="L19" s="158">
        <v>44865</v>
      </c>
      <c r="M19" s="159">
        <v>1</v>
      </c>
      <c r="N19" s="159">
        <v>70</v>
      </c>
      <c r="O19" s="160">
        <v>20</v>
      </c>
      <c r="P19" s="167">
        <v>100</v>
      </c>
      <c r="Q19" s="21"/>
      <c r="R19" s="56"/>
      <c r="S19" s="58"/>
      <c r="T19" s="58"/>
      <c r="U19" s="58"/>
      <c r="V19" s="64"/>
      <c r="W19" s="60"/>
      <c r="X19" s="60"/>
      <c r="Y19" s="60"/>
      <c r="Z19" s="60"/>
      <c r="AA19" s="60"/>
      <c r="AB19" s="60"/>
      <c r="AC19" s="60"/>
      <c r="AD19" s="60"/>
      <c r="AE19" s="60"/>
      <c r="AF19" s="60"/>
      <c r="AG19" s="62"/>
      <c r="AH19" s="62"/>
      <c r="AI19" s="60"/>
      <c r="AJ19" s="60"/>
      <c r="AK19" s="60"/>
      <c r="AL19" s="56"/>
      <c r="AM19" s="58"/>
      <c r="AN19" s="58"/>
      <c r="AO19" s="58"/>
      <c r="AP19" s="62"/>
      <c r="AQ19" s="62"/>
      <c r="AR19" s="62"/>
      <c r="AS19" s="62"/>
      <c r="AT19" s="62"/>
      <c r="AU19" s="62"/>
      <c r="AV19" s="60"/>
      <c r="AW19" s="60"/>
      <c r="AX19" s="60"/>
      <c r="AY19" s="60"/>
      <c r="AZ19" s="60"/>
      <c r="BA19" s="60"/>
      <c r="BB19" s="60"/>
      <c r="BC19" s="60"/>
      <c r="BD19" s="60"/>
      <c r="BE19" s="60"/>
      <c r="BF19" s="56"/>
      <c r="BG19" s="58"/>
      <c r="BH19" s="58"/>
      <c r="BI19" s="58"/>
      <c r="BJ19" s="62"/>
      <c r="BK19" s="60"/>
      <c r="BL19" s="60"/>
      <c r="BM19" s="60"/>
      <c r="BN19" s="60"/>
      <c r="BO19" s="60"/>
      <c r="BP19" s="60"/>
      <c r="BQ19" s="60"/>
      <c r="BR19" s="60"/>
      <c r="BS19" s="60"/>
      <c r="BT19" s="60"/>
      <c r="BU19" s="60"/>
      <c r="BV19" s="60"/>
      <c r="BW19" s="60"/>
      <c r="BX19" s="60"/>
      <c r="BY19" s="60"/>
      <c r="BZ19" s="56"/>
      <c r="CA19" s="58"/>
      <c r="CB19" s="58"/>
      <c r="CC19" s="64"/>
      <c r="CD19" s="64"/>
      <c r="CE19" s="60"/>
      <c r="CF19" s="60"/>
      <c r="CG19" s="60"/>
      <c r="CH19" s="60"/>
      <c r="CI19" s="60"/>
      <c r="CJ19" s="60"/>
      <c r="CK19" s="60"/>
      <c r="CL19" s="60"/>
      <c r="CM19" s="60"/>
      <c r="CN19" s="60"/>
      <c r="CO19" s="60"/>
      <c r="CP19" s="60"/>
      <c r="CQ19" s="60"/>
      <c r="CR19" s="60"/>
      <c r="CS19" s="60"/>
      <c r="CT19" s="56"/>
      <c r="CU19" s="64"/>
      <c r="CV19" s="64"/>
      <c r="CW19" s="64"/>
      <c r="CX19" s="64"/>
      <c r="CY19" s="60"/>
      <c r="CZ19" s="60"/>
      <c r="DA19" s="60"/>
      <c r="DB19" s="60"/>
      <c r="DC19" s="60"/>
      <c r="DD19" s="60"/>
      <c r="DE19" s="60"/>
      <c r="DF19" s="60"/>
      <c r="DG19" s="60"/>
      <c r="DH19" s="60"/>
      <c r="DI19" s="60"/>
      <c r="DJ19" s="60"/>
      <c r="DK19" s="60"/>
      <c r="DL19" s="60"/>
      <c r="DM19" s="60"/>
      <c r="DN19" s="56"/>
      <c r="DO19" s="58"/>
      <c r="DP19" s="58"/>
      <c r="DQ19" s="64"/>
      <c r="DR19" s="60"/>
      <c r="DS19" s="60"/>
      <c r="DT19" s="60"/>
      <c r="DU19" s="60"/>
      <c r="DV19" s="60"/>
      <c r="DW19" s="60"/>
      <c r="DX19" s="60"/>
      <c r="DY19" s="60"/>
      <c r="DZ19" s="60"/>
      <c r="EA19" s="60"/>
      <c r="EB19" s="60"/>
      <c r="EC19" s="62"/>
      <c r="ED19" s="62"/>
      <c r="EE19" s="60"/>
      <c r="EF19" s="60"/>
      <c r="EG19" s="60"/>
      <c r="EH19" s="56"/>
      <c r="EI19" s="58"/>
      <c r="EJ19" s="58"/>
      <c r="EK19" s="64"/>
      <c r="EL19" s="60"/>
      <c r="EM19" s="60"/>
      <c r="EN19" s="60"/>
      <c r="EO19" s="60"/>
      <c r="EP19" s="60"/>
      <c r="EQ19" s="60"/>
      <c r="ER19" s="60"/>
      <c r="ES19" s="60"/>
      <c r="ET19" s="60"/>
      <c r="EU19" s="60"/>
      <c r="EV19" s="60"/>
      <c r="EW19" s="60"/>
      <c r="EX19" s="60"/>
      <c r="EY19" s="60"/>
      <c r="EZ19" s="60"/>
      <c r="FA19" s="60"/>
      <c r="FB19" s="56"/>
      <c r="FC19" s="64"/>
      <c r="FD19" s="64"/>
      <c r="FE19" s="64"/>
      <c r="FF19" s="60"/>
      <c r="FG19" s="60"/>
      <c r="FH19" s="60"/>
      <c r="FI19" s="60"/>
      <c r="FJ19" s="60"/>
      <c r="FK19" s="60"/>
      <c r="FL19" s="60"/>
      <c r="FM19" s="60"/>
      <c r="FN19" s="60"/>
      <c r="FO19" s="60"/>
      <c r="FP19" s="60"/>
      <c r="FQ19" s="60"/>
      <c r="FR19" s="60"/>
      <c r="FS19" s="60"/>
      <c r="FT19" s="60"/>
      <c r="FU19" s="60"/>
      <c r="FV19" s="56"/>
      <c r="FW19" s="64"/>
      <c r="FX19" s="64"/>
      <c r="FY19" s="64"/>
      <c r="FZ19" s="60"/>
      <c r="GA19" s="60"/>
      <c r="GB19" s="60"/>
      <c r="GC19" s="60"/>
      <c r="GD19" s="60"/>
      <c r="GE19" s="60"/>
      <c r="GF19" s="60"/>
      <c r="GG19" s="60"/>
      <c r="GH19" s="60"/>
      <c r="GI19" s="60"/>
      <c r="GJ19" s="60"/>
      <c r="GK19" s="60"/>
      <c r="GL19" s="60"/>
      <c r="GM19" s="60"/>
      <c r="GN19" s="60"/>
      <c r="GO19" s="60"/>
      <c r="GP19" s="56"/>
      <c r="GQ19" s="64"/>
      <c r="GR19" s="64"/>
      <c r="GS19" s="64"/>
      <c r="GT19" s="60"/>
      <c r="GU19" s="60"/>
      <c r="GV19" s="60"/>
      <c r="GW19" s="60"/>
      <c r="GX19" s="60"/>
      <c r="GY19" s="60"/>
      <c r="GZ19" s="62"/>
      <c r="HA19" s="62"/>
      <c r="HB19" s="62"/>
      <c r="HC19" s="62"/>
      <c r="HD19" s="62"/>
      <c r="HE19" s="62"/>
      <c r="HF19" s="62"/>
      <c r="HG19" s="62"/>
      <c r="HH19" s="62"/>
      <c r="HI19" s="62"/>
      <c r="HJ19" s="56"/>
      <c r="HK19" s="58"/>
      <c r="HL19" s="58"/>
      <c r="HM19" s="58"/>
      <c r="HN19" s="62"/>
      <c r="HO19" s="62"/>
      <c r="HP19" s="62"/>
      <c r="HQ19" s="62"/>
      <c r="HR19" s="62"/>
      <c r="HS19" s="62"/>
      <c r="HT19" s="62"/>
      <c r="HU19" s="62"/>
      <c r="HV19" s="62"/>
      <c r="HW19" s="62"/>
      <c r="HX19" s="62"/>
      <c r="HY19" s="62"/>
      <c r="HZ19" s="62"/>
      <c r="IA19" s="62"/>
      <c r="IB19" s="62"/>
      <c r="IC19" s="62"/>
      <c r="ID19" s="4"/>
      <c r="IF19" s="23"/>
      <c r="IG19" s="28"/>
      <c r="IH19" s="28" t="s">
        <v>94</v>
      </c>
      <c r="II19" s="29" t="str">
        <f t="shared" si="2"/>
        <v/>
      </c>
      <c r="IJ19" s="29" t="str">
        <f t="shared" si="3"/>
        <v>ColorNone</v>
      </c>
      <c r="IK19" s="8">
        <f t="shared" si="4"/>
        <v>20</v>
      </c>
      <c r="IL19" s="23"/>
      <c r="IM19" s="156">
        <f>$BH$5</f>
        <v>0</v>
      </c>
      <c r="IN19" s="1">
        <v>7</v>
      </c>
    </row>
    <row r="20" spans="1:248" x14ac:dyDescent="0.15">
      <c r="A20" s="236"/>
      <c r="B20" s="6" t="s">
        <v>81</v>
      </c>
      <c r="C20" s="7" t="str">
        <f t="shared" si="5"/>
        <v>*</v>
      </c>
      <c r="D20" s="154" t="s">
        <v>141</v>
      </c>
      <c r="E20" s="124"/>
      <c r="F20" s="93">
        <v>44865</v>
      </c>
      <c r="G20" s="94">
        <v>1</v>
      </c>
      <c r="H20" s="94">
        <v>60</v>
      </c>
      <c r="I20" s="95">
        <v>20</v>
      </c>
      <c r="J20" s="96"/>
      <c r="K20" s="146" t="s">
        <v>168</v>
      </c>
      <c r="L20" s="158">
        <v>44872</v>
      </c>
      <c r="M20" s="159">
        <v>2</v>
      </c>
      <c r="N20" s="159">
        <v>0</v>
      </c>
      <c r="O20" s="160">
        <v>20</v>
      </c>
      <c r="P20" s="167">
        <v>100</v>
      </c>
      <c r="Q20" s="21"/>
      <c r="R20" s="56"/>
      <c r="S20" s="58"/>
      <c r="T20" s="58"/>
      <c r="U20" s="58"/>
      <c r="V20" s="64"/>
      <c r="W20" s="60"/>
      <c r="X20" s="60"/>
      <c r="Y20" s="60"/>
      <c r="Z20" s="60"/>
      <c r="AA20" s="60"/>
      <c r="AB20" s="60"/>
      <c r="AC20" s="60"/>
      <c r="AD20" s="60"/>
      <c r="AE20" s="60"/>
      <c r="AF20" s="60"/>
      <c r="AG20" s="62"/>
      <c r="AH20" s="62"/>
      <c r="AI20" s="60"/>
      <c r="AJ20" s="60"/>
      <c r="AK20" s="60"/>
      <c r="AL20" s="56"/>
      <c r="AM20" s="58"/>
      <c r="AN20" s="58"/>
      <c r="AO20" s="58"/>
      <c r="AP20" s="62"/>
      <c r="AQ20" s="62"/>
      <c r="AR20" s="62"/>
      <c r="AS20" s="62"/>
      <c r="AT20" s="62"/>
      <c r="AU20" s="62"/>
      <c r="AV20" s="60"/>
      <c r="AW20" s="60"/>
      <c r="AX20" s="60"/>
      <c r="AY20" s="60"/>
      <c r="AZ20" s="60"/>
      <c r="BA20" s="60"/>
      <c r="BB20" s="60"/>
      <c r="BC20" s="60"/>
      <c r="BD20" s="60"/>
      <c r="BE20" s="60"/>
      <c r="BF20" s="56"/>
      <c r="BG20" s="58"/>
      <c r="BH20" s="58"/>
      <c r="BI20" s="58"/>
      <c r="BJ20" s="62"/>
      <c r="BK20" s="60"/>
      <c r="BL20" s="60"/>
      <c r="BM20" s="60"/>
      <c r="BN20" s="60"/>
      <c r="BO20" s="60"/>
      <c r="BP20" s="60"/>
      <c r="BQ20" s="60"/>
      <c r="BR20" s="60"/>
      <c r="BS20" s="60"/>
      <c r="BT20" s="60"/>
      <c r="BU20" s="60"/>
      <c r="BV20" s="60"/>
      <c r="BW20" s="60"/>
      <c r="BX20" s="60"/>
      <c r="BY20" s="60"/>
      <c r="BZ20" s="56"/>
      <c r="CA20" s="58"/>
      <c r="CB20" s="58"/>
      <c r="CC20" s="64"/>
      <c r="CD20" s="64"/>
      <c r="CE20" s="60"/>
      <c r="CF20" s="60"/>
      <c r="CG20" s="60"/>
      <c r="CH20" s="60"/>
      <c r="CI20" s="60"/>
      <c r="CJ20" s="60"/>
      <c r="CK20" s="60"/>
      <c r="CL20" s="60"/>
      <c r="CM20" s="60"/>
      <c r="CN20" s="60"/>
      <c r="CO20" s="60"/>
      <c r="CP20" s="60"/>
      <c r="CQ20" s="60"/>
      <c r="CR20" s="60"/>
      <c r="CS20" s="60"/>
      <c r="CT20" s="56"/>
      <c r="CU20" s="64"/>
      <c r="CV20" s="64"/>
      <c r="CW20" s="64"/>
      <c r="CX20" s="64"/>
      <c r="CY20" s="60"/>
      <c r="CZ20" s="60"/>
      <c r="DA20" s="60"/>
      <c r="DB20" s="60"/>
      <c r="DC20" s="60"/>
      <c r="DD20" s="60"/>
      <c r="DE20" s="60"/>
      <c r="DF20" s="60"/>
      <c r="DG20" s="60"/>
      <c r="DH20" s="60"/>
      <c r="DI20" s="60"/>
      <c r="DJ20" s="60"/>
      <c r="DK20" s="60"/>
      <c r="DL20" s="60"/>
      <c r="DM20" s="60"/>
      <c r="DN20" s="56"/>
      <c r="DO20" s="58"/>
      <c r="DP20" s="58"/>
      <c r="DQ20" s="64"/>
      <c r="DR20" s="60"/>
      <c r="DS20" s="60"/>
      <c r="DT20" s="60"/>
      <c r="DU20" s="60"/>
      <c r="DV20" s="60"/>
      <c r="DW20" s="60"/>
      <c r="DX20" s="60"/>
      <c r="DY20" s="60"/>
      <c r="DZ20" s="60"/>
      <c r="EA20" s="60"/>
      <c r="EB20" s="60"/>
      <c r="EC20" s="62"/>
      <c r="ED20" s="62"/>
      <c r="EE20" s="60"/>
      <c r="EF20" s="60"/>
      <c r="EG20" s="60"/>
      <c r="EH20" s="56"/>
      <c r="EI20" s="58"/>
      <c r="EJ20" s="58"/>
      <c r="EK20" s="64"/>
      <c r="EL20" s="60"/>
      <c r="EM20" s="60"/>
      <c r="EN20" s="60"/>
      <c r="EO20" s="60"/>
      <c r="EP20" s="60"/>
      <c r="EQ20" s="60"/>
      <c r="ER20" s="60"/>
      <c r="ES20" s="60"/>
      <c r="ET20" s="60"/>
      <c r="EU20" s="60"/>
      <c r="EV20" s="60"/>
      <c r="EW20" s="60"/>
      <c r="EX20" s="60"/>
      <c r="EY20" s="60"/>
      <c r="EZ20" s="60"/>
      <c r="FA20" s="60"/>
      <c r="FB20" s="56"/>
      <c r="FC20" s="64"/>
      <c r="FD20" s="64"/>
      <c r="FE20" s="64"/>
      <c r="FF20" s="60"/>
      <c r="FG20" s="60"/>
      <c r="FH20" s="60"/>
      <c r="FI20" s="60"/>
      <c r="FJ20" s="60"/>
      <c r="FK20" s="60"/>
      <c r="FL20" s="60"/>
      <c r="FM20" s="60"/>
      <c r="FN20" s="60"/>
      <c r="FO20" s="60"/>
      <c r="FP20" s="60"/>
      <c r="FQ20" s="60"/>
      <c r="FR20" s="60"/>
      <c r="FS20" s="60"/>
      <c r="FT20" s="60"/>
      <c r="FU20" s="60"/>
      <c r="FV20" s="56"/>
      <c r="FW20" s="64"/>
      <c r="FX20" s="64"/>
      <c r="FY20" s="64"/>
      <c r="FZ20" s="60"/>
      <c r="GA20" s="60"/>
      <c r="GB20" s="60"/>
      <c r="GC20" s="60"/>
      <c r="GD20" s="60"/>
      <c r="GE20" s="60"/>
      <c r="GF20" s="60"/>
      <c r="GG20" s="60"/>
      <c r="GH20" s="60"/>
      <c r="GI20" s="60"/>
      <c r="GJ20" s="60"/>
      <c r="GK20" s="60"/>
      <c r="GL20" s="60"/>
      <c r="GM20" s="60"/>
      <c r="GN20" s="60"/>
      <c r="GO20" s="60"/>
      <c r="GP20" s="56"/>
      <c r="GQ20" s="64"/>
      <c r="GR20" s="64"/>
      <c r="GS20" s="64"/>
      <c r="GT20" s="60"/>
      <c r="GU20" s="60"/>
      <c r="GV20" s="60"/>
      <c r="GW20" s="60"/>
      <c r="GX20" s="60"/>
      <c r="GY20" s="60"/>
      <c r="GZ20" s="62"/>
      <c r="HA20" s="62"/>
      <c r="HB20" s="62"/>
      <c r="HC20" s="62"/>
      <c r="HD20" s="62"/>
      <c r="HE20" s="62"/>
      <c r="HF20" s="62"/>
      <c r="HG20" s="62"/>
      <c r="HH20" s="62"/>
      <c r="HI20" s="62"/>
      <c r="HJ20" s="56"/>
      <c r="HK20" s="58"/>
      <c r="HL20" s="58"/>
      <c r="HM20" s="58"/>
      <c r="HN20" s="62"/>
      <c r="HO20" s="62"/>
      <c r="HP20" s="62"/>
      <c r="HQ20" s="62"/>
      <c r="HR20" s="62"/>
      <c r="HS20" s="62"/>
      <c r="HT20" s="62"/>
      <c r="HU20" s="62"/>
      <c r="HV20" s="62"/>
      <c r="HW20" s="62"/>
      <c r="HX20" s="62"/>
      <c r="HY20" s="62"/>
      <c r="HZ20" s="62"/>
      <c r="IA20" s="62"/>
      <c r="IB20" s="62"/>
      <c r="IC20" s="62"/>
      <c r="ID20" s="4"/>
      <c r="IF20" s="23"/>
      <c r="IG20" s="28"/>
      <c r="IH20" s="28" t="s">
        <v>94</v>
      </c>
      <c r="II20" s="29" t="str">
        <f t="shared" si="2"/>
        <v/>
      </c>
      <c r="IJ20" s="29" t="str">
        <f t="shared" si="3"/>
        <v>ColorNone</v>
      </c>
      <c r="IK20" s="8">
        <f t="shared" si="4"/>
        <v>20</v>
      </c>
      <c r="IL20" s="23"/>
      <c r="IM20" s="156">
        <f>$BH$6</f>
        <v>0</v>
      </c>
      <c r="IN20" s="1">
        <v>8</v>
      </c>
    </row>
    <row r="21" spans="1:248" x14ac:dyDescent="0.15">
      <c r="A21" s="236"/>
      <c r="B21" s="6" t="s">
        <v>82</v>
      </c>
      <c r="C21" s="7" t="str">
        <f t="shared" si="5"/>
        <v/>
      </c>
      <c r="D21" s="154" t="s">
        <v>131</v>
      </c>
      <c r="E21" s="124"/>
      <c r="F21" s="93">
        <v>44865</v>
      </c>
      <c r="G21" s="94">
        <v>2</v>
      </c>
      <c r="H21" s="94">
        <v>0</v>
      </c>
      <c r="I21" s="95">
        <v>300</v>
      </c>
      <c r="J21" s="96"/>
      <c r="K21" s="175" t="s">
        <v>170</v>
      </c>
      <c r="L21" s="158">
        <v>44872</v>
      </c>
      <c r="M21" s="159">
        <v>2</v>
      </c>
      <c r="N21" s="159">
        <v>30</v>
      </c>
      <c r="O21" s="160">
        <v>250</v>
      </c>
      <c r="P21" s="167">
        <v>80</v>
      </c>
      <c r="Q21" s="21"/>
      <c r="R21" s="56"/>
      <c r="S21" s="58"/>
      <c r="T21" s="58"/>
      <c r="U21" s="58"/>
      <c r="V21" s="64"/>
      <c r="W21" s="60"/>
      <c r="X21" s="60"/>
      <c r="Y21" s="60"/>
      <c r="Z21" s="60"/>
      <c r="AA21" s="60"/>
      <c r="AB21" s="60"/>
      <c r="AC21" s="60"/>
      <c r="AD21" s="60"/>
      <c r="AE21" s="60"/>
      <c r="AF21" s="60"/>
      <c r="AG21" s="62"/>
      <c r="AH21" s="62"/>
      <c r="AI21" s="60"/>
      <c r="AJ21" s="60"/>
      <c r="AK21" s="60"/>
      <c r="AL21" s="56"/>
      <c r="AM21" s="58"/>
      <c r="AN21" s="58"/>
      <c r="AO21" s="58"/>
      <c r="AP21" s="62"/>
      <c r="AQ21" s="62"/>
      <c r="AR21" s="62"/>
      <c r="AS21" s="62"/>
      <c r="AT21" s="62"/>
      <c r="AU21" s="62"/>
      <c r="AV21" s="60"/>
      <c r="AW21" s="60"/>
      <c r="AX21" s="60"/>
      <c r="AY21" s="60"/>
      <c r="AZ21" s="60"/>
      <c r="BA21" s="60"/>
      <c r="BB21" s="60"/>
      <c r="BC21" s="60"/>
      <c r="BD21" s="60"/>
      <c r="BE21" s="60"/>
      <c r="BF21" s="56"/>
      <c r="BG21" s="58"/>
      <c r="BH21" s="58"/>
      <c r="BI21" s="58"/>
      <c r="BJ21" s="62"/>
      <c r="BK21" s="60"/>
      <c r="BL21" s="60"/>
      <c r="BM21" s="60"/>
      <c r="BN21" s="60"/>
      <c r="BO21" s="60"/>
      <c r="BP21" s="60"/>
      <c r="BQ21" s="60"/>
      <c r="BR21" s="60"/>
      <c r="BS21" s="60"/>
      <c r="BT21" s="60"/>
      <c r="BU21" s="60"/>
      <c r="BV21" s="60"/>
      <c r="BW21" s="60"/>
      <c r="BX21" s="60"/>
      <c r="BY21" s="60"/>
      <c r="BZ21" s="56"/>
      <c r="CA21" s="58"/>
      <c r="CB21" s="58"/>
      <c r="CC21" s="64"/>
      <c r="CD21" s="64"/>
      <c r="CE21" s="60"/>
      <c r="CF21" s="60"/>
      <c r="CG21" s="60"/>
      <c r="CH21" s="60"/>
      <c r="CI21" s="60"/>
      <c r="CJ21" s="60"/>
      <c r="CK21" s="60"/>
      <c r="CL21" s="60"/>
      <c r="CM21" s="60"/>
      <c r="CN21" s="60"/>
      <c r="CO21" s="60"/>
      <c r="CP21" s="60"/>
      <c r="CQ21" s="60"/>
      <c r="CR21" s="60"/>
      <c r="CS21" s="60"/>
      <c r="CT21" s="56"/>
      <c r="CU21" s="64"/>
      <c r="CV21" s="64"/>
      <c r="CW21" s="64"/>
      <c r="CX21" s="64"/>
      <c r="CY21" s="60"/>
      <c r="CZ21" s="60"/>
      <c r="DA21" s="60"/>
      <c r="DB21" s="60"/>
      <c r="DC21" s="60"/>
      <c r="DD21" s="60"/>
      <c r="DE21" s="60"/>
      <c r="DF21" s="60"/>
      <c r="DG21" s="60"/>
      <c r="DH21" s="60"/>
      <c r="DI21" s="60"/>
      <c r="DJ21" s="60"/>
      <c r="DK21" s="60"/>
      <c r="DL21" s="60"/>
      <c r="DM21" s="60"/>
      <c r="DN21" s="56"/>
      <c r="DO21" s="58"/>
      <c r="DP21" s="58"/>
      <c r="DQ21" s="64"/>
      <c r="DR21" s="60"/>
      <c r="DS21" s="60"/>
      <c r="DT21" s="60"/>
      <c r="DU21" s="60"/>
      <c r="DV21" s="60"/>
      <c r="DW21" s="60"/>
      <c r="DX21" s="60"/>
      <c r="DY21" s="60"/>
      <c r="DZ21" s="60"/>
      <c r="EA21" s="60"/>
      <c r="EB21" s="60"/>
      <c r="EC21" s="62"/>
      <c r="ED21" s="62"/>
      <c r="EE21" s="60"/>
      <c r="EF21" s="60"/>
      <c r="EG21" s="60"/>
      <c r="EH21" s="56"/>
      <c r="EI21" s="58"/>
      <c r="EJ21" s="58"/>
      <c r="EK21" s="64"/>
      <c r="EL21" s="60"/>
      <c r="EM21" s="60"/>
      <c r="EN21" s="60"/>
      <c r="EO21" s="60"/>
      <c r="EP21" s="60"/>
      <c r="EQ21" s="60"/>
      <c r="ER21" s="60"/>
      <c r="ES21" s="60"/>
      <c r="ET21" s="60"/>
      <c r="EU21" s="60"/>
      <c r="EV21" s="60"/>
      <c r="EW21" s="60"/>
      <c r="EX21" s="60"/>
      <c r="EY21" s="60"/>
      <c r="EZ21" s="60"/>
      <c r="FA21" s="60"/>
      <c r="FB21" s="56"/>
      <c r="FC21" s="64"/>
      <c r="FD21" s="64"/>
      <c r="FE21" s="64"/>
      <c r="FF21" s="60"/>
      <c r="FG21" s="60"/>
      <c r="FH21" s="60"/>
      <c r="FI21" s="60"/>
      <c r="FJ21" s="60"/>
      <c r="FK21" s="60"/>
      <c r="FL21" s="60"/>
      <c r="FM21" s="60"/>
      <c r="FN21" s="60"/>
      <c r="FO21" s="60"/>
      <c r="FP21" s="60"/>
      <c r="FQ21" s="60"/>
      <c r="FR21" s="60"/>
      <c r="FS21" s="60"/>
      <c r="FT21" s="60"/>
      <c r="FU21" s="60"/>
      <c r="FV21" s="56"/>
      <c r="FW21" s="64"/>
      <c r="FX21" s="64"/>
      <c r="FY21" s="64"/>
      <c r="FZ21" s="60"/>
      <c r="GA21" s="60"/>
      <c r="GB21" s="60"/>
      <c r="GC21" s="60"/>
      <c r="GD21" s="60"/>
      <c r="GE21" s="60"/>
      <c r="GF21" s="60"/>
      <c r="GG21" s="60"/>
      <c r="GH21" s="60"/>
      <c r="GI21" s="60"/>
      <c r="GJ21" s="60"/>
      <c r="GK21" s="60"/>
      <c r="GL21" s="60"/>
      <c r="GM21" s="60"/>
      <c r="GN21" s="60"/>
      <c r="GO21" s="60"/>
      <c r="GP21" s="56"/>
      <c r="GQ21" s="64"/>
      <c r="GR21" s="64"/>
      <c r="GS21" s="64"/>
      <c r="GT21" s="60"/>
      <c r="GU21" s="60"/>
      <c r="GV21" s="60"/>
      <c r="GW21" s="60"/>
      <c r="GX21" s="60"/>
      <c r="GY21" s="60"/>
      <c r="GZ21" s="62"/>
      <c r="HA21" s="62"/>
      <c r="HB21" s="62"/>
      <c r="HC21" s="62"/>
      <c r="HD21" s="62"/>
      <c r="HE21" s="62"/>
      <c r="HF21" s="62"/>
      <c r="HG21" s="62"/>
      <c r="HH21" s="62"/>
      <c r="HI21" s="62"/>
      <c r="HJ21" s="56"/>
      <c r="HK21" s="58"/>
      <c r="HL21" s="58"/>
      <c r="HM21" s="58"/>
      <c r="HN21" s="62"/>
      <c r="HO21" s="62"/>
      <c r="HP21" s="62"/>
      <c r="HQ21" s="62"/>
      <c r="HR21" s="62"/>
      <c r="HS21" s="62"/>
      <c r="HT21" s="62"/>
      <c r="HU21" s="62"/>
      <c r="HV21" s="62"/>
      <c r="HW21" s="62"/>
      <c r="HX21" s="62"/>
      <c r="HY21" s="62"/>
      <c r="HZ21" s="62"/>
      <c r="IA21" s="62"/>
      <c r="IB21" s="62"/>
      <c r="IC21" s="62"/>
      <c r="ID21" s="4"/>
      <c r="IF21" s="23"/>
      <c r="IG21" s="28">
        <v>1</v>
      </c>
      <c r="IH21" s="28" t="s">
        <v>94</v>
      </c>
      <c r="II21" s="29" t="str">
        <f t="shared" si="2"/>
        <v/>
      </c>
      <c r="IJ21" s="29" t="str">
        <f t="shared" si="3"/>
        <v>ColorNone</v>
      </c>
      <c r="IK21" s="8">
        <f t="shared" si="4"/>
        <v>250</v>
      </c>
      <c r="IL21" s="23"/>
      <c r="IM21" s="1">
        <f>$T$3</f>
        <v>0</v>
      </c>
      <c r="IN21" s="1">
        <v>1</v>
      </c>
    </row>
    <row r="22" spans="1:248" ht="12.75" customHeight="1" x14ac:dyDescent="0.15">
      <c r="A22" s="236"/>
      <c r="B22" s="6" t="s">
        <v>83</v>
      </c>
      <c r="C22" s="7" t="str">
        <f t="shared" si="5"/>
        <v>*</v>
      </c>
      <c r="D22" s="154" t="s">
        <v>143</v>
      </c>
      <c r="E22" s="124"/>
      <c r="F22" s="93">
        <v>44872</v>
      </c>
      <c r="G22" s="94">
        <v>1</v>
      </c>
      <c r="H22" s="94">
        <v>30</v>
      </c>
      <c r="I22" s="95">
        <v>20</v>
      </c>
      <c r="J22" s="96"/>
      <c r="K22" s="146" t="s">
        <v>172</v>
      </c>
      <c r="L22" s="158">
        <v>44879</v>
      </c>
      <c r="M22" s="159">
        <v>1</v>
      </c>
      <c r="N22" s="159">
        <v>50</v>
      </c>
      <c r="O22" s="160">
        <v>70</v>
      </c>
      <c r="P22" s="167">
        <v>100</v>
      </c>
      <c r="Q22" s="21"/>
      <c r="R22" s="56"/>
      <c r="S22" s="58"/>
      <c r="T22" s="58"/>
      <c r="U22" s="58"/>
      <c r="V22" s="64"/>
      <c r="W22" s="60"/>
      <c r="X22" s="60"/>
      <c r="Y22" s="60"/>
      <c r="Z22" s="60"/>
      <c r="AA22" s="60"/>
      <c r="AB22" s="60"/>
      <c r="AC22" s="60"/>
      <c r="AD22" s="60"/>
      <c r="AE22" s="60"/>
      <c r="AF22" s="60"/>
      <c r="AG22" s="62"/>
      <c r="AH22" s="62"/>
      <c r="AI22" s="60"/>
      <c r="AJ22" s="60"/>
      <c r="AK22" s="60"/>
      <c r="AL22" s="56"/>
      <c r="AM22" s="58"/>
      <c r="AN22" s="58"/>
      <c r="AO22" s="58"/>
      <c r="AP22" s="62"/>
      <c r="AQ22" s="62"/>
      <c r="AR22" s="62"/>
      <c r="AS22" s="62"/>
      <c r="AT22" s="62"/>
      <c r="AU22" s="62"/>
      <c r="AV22" s="60"/>
      <c r="AW22" s="60"/>
      <c r="AX22" s="60"/>
      <c r="AY22" s="60"/>
      <c r="AZ22" s="60"/>
      <c r="BA22" s="60"/>
      <c r="BB22" s="60"/>
      <c r="BC22" s="60"/>
      <c r="BD22" s="60"/>
      <c r="BE22" s="60"/>
      <c r="BF22" s="56"/>
      <c r="BG22" s="58"/>
      <c r="BH22" s="58"/>
      <c r="BI22" s="58"/>
      <c r="BJ22" s="62"/>
      <c r="BK22" s="60"/>
      <c r="BL22" s="60"/>
      <c r="BM22" s="60"/>
      <c r="BN22" s="60"/>
      <c r="BO22" s="60"/>
      <c r="BP22" s="60"/>
      <c r="BQ22" s="60"/>
      <c r="BR22" s="60"/>
      <c r="BS22" s="60"/>
      <c r="BT22" s="60"/>
      <c r="BU22" s="60"/>
      <c r="BV22" s="60"/>
      <c r="BW22" s="60"/>
      <c r="BX22" s="60"/>
      <c r="BY22" s="60"/>
      <c r="BZ22" s="56"/>
      <c r="CA22" s="58"/>
      <c r="CB22" s="58"/>
      <c r="CC22" s="64"/>
      <c r="CD22" s="64"/>
      <c r="CE22" s="60"/>
      <c r="CF22" s="60"/>
      <c r="CG22" s="60"/>
      <c r="CH22" s="60"/>
      <c r="CI22" s="60"/>
      <c r="CJ22" s="60"/>
      <c r="CK22" s="60"/>
      <c r="CL22" s="60"/>
      <c r="CM22" s="60"/>
      <c r="CN22" s="60"/>
      <c r="CO22" s="60"/>
      <c r="CP22" s="60"/>
      <c r="CQ22" s="60"/>
      <c r="CR22" s="60"/>
      <c r="CS22" s="60"/>
      <c r="CT22" s="56"/>
      <c r="CU22" s="64"/>
      <c r="CV22" s="64"/>
      <c r="CW22" s="64"/>
      <c r="CX22" s="64"/>
      <c r="CY22" s="60"/>
      <c r="CZ22" s="60"/>
      <c r="DA22" s="60"/>
      <c r="DB22" s="60"/>
      <c r="DC22" s="60"/>
      <c r="DD22" s="60"/>
      <c r="DE22" s="60"/>
      <c r="DF22" s="60"/>
      <c r="DG22" s="60"/>
      <c r="DH22" s="60"/>
      <c r="DI22" s="60"/>
      <c r="DJ22" s="60"/>
      <c r="DK22" s="60"/>
      <c r="DL22" s="60"/>
      <c r="DM22" s="60"/>
      <c r="DN22" s="56"/>
      <c r="DO22" s="58"/>
      <c r="DP22" s="58"/>
      <c r="DQ22" s="64"/>
      <c r="DR22" s="60"/>
      <c r="DS22" s="60"/>
      <c r="DT22" s="60"/>
      <c r="DU22" s="60"/>
      <c r="DV22" s="60"/>
      <c r="DW22" s="60"/>
      <c r="DX22" s="60"/>
      <c r="DY22" s="60"/>
      <c r="DZ22" s="60"/>
      <c r="EA22" s="60"/>
      <c r="EB22" s="60"/>
      <c r="EC22" s="62"/>
      <c r="ED22" s="62"/>
      <c r="EE22" s="60"/>
      <c r="EF22" s="60"/>
      <c r="EG22" s="60"/>
      <c r="EH22" s="56"/>
      <c r="EI22" s="58"/>
      <c r="EJ22" s="58"/>
      <c r="EK22" s="64"/>
      <c r="EL22" s="60"/>
      <c r="EM22" s="60"/>
      <c r="EN22" s="60"/>
      <c r="EO22" s="60"/>
      <c r="EP22" s="60"/>
      <c r="EQ22" s="60"/>
      <c r="ER22" s="60"/>
      <c r="ES22" s="60"/>
      <c r="ET22" s="60"/>
      <c r="EU22" s="60"/>
      <c r="EV22" s="60"/>
      <c r="EW22" s="60"/>
      <c r="EX22" s="60"/>
      <c r="EY22" s="60"/>
      <c r="EZ22" s="60"/>
      <c r="FA22" s="60"/>
      <c r="FB22" s="56"/>
      <c r="FC22" s="64"/>
      <c r="FD22" s="64"/>
      <c r="FE22" s="64"/>
      <c r="FF22" s="60"/>
      <c r="FG22" s="60"/>
      <c r="FH22" s="60"/>
      <c r="FI22" s="60"/>
      <c r="FJ22" s="60"/>
      <c r="FK22" s="60"/>
      <c r="FL22" s="60"/>
      <c r="FM22" s="60"/>
      <c r="FN22" s="60"/>
      <c r="FO22" s="60"/>
      <c r="FP22" s="60"/>
      <c r="FQ22" s="60"/>
      <c r="FR22" s="60"/>
      <c r="FS22" s="60"/>
      <c r="FT22" s="60"/>
      <c r="FU22" s="60"/>
      <c r="FV22" s="56"/>
      <c r="FW22" s="64"/>
      <c r="FX22" s="64"/>
      <c r="FY22" s="64"/>
      <c r="FZ22" s="60"/>
      <c r="GA22" s="60"/>
      <c r="GB22" s="60"/>
      <c r="GC22" s="60"/>
      <c r="GD22" s="60"/>
      <c r="GE22" s="60"/>
      <c r="GF22" s="60"/>
      <c r="GG22" s="60"/>
      <c r="GH22" s="60"/>
      <c r="GI22" s="60"/>
      <c r="GJ22" s="60"/>
      <c r="GK22" s="60"/>
      <c r="GL22" s="60"/>
      <c r="GM22" s="60"/>
      <c r="GN22" s="60"/>
      <c r="GO22" s="60"/>
      <c r="GP22" s="56"/>
      <c r="GQ22" s="64"/>
      <c r="GR22" s="64"/>
      <c r="GS22" s="64"/>
      <c r="GT22" s="60"/>
      <c r="GU22" s="60"/>
      <c r="GV22" s="60"/>
      <c r="GW22" s="60"/>
      <c r="GX22" s="60"/>
      <c r="GY22" s="60"/>
      <c r="GZ22" s="62"/>
      <c r="HA22" s="62"/>
      <c r="HB22" s="62"/>
      <c r="HC22" s="62"/>
      <c r="HD22" s="62"/>
      <c r="HE22" s="62"/>
      <c r="HF22" s="62"/>
      <c r="HG22" s="62"/>
      <c r="HH22" s="62"/>
      <c r="HI22" s="62"/>
      <c r="HJ22" s="56"/>
      <c r="HK22" s="58"/>
      <c r="HL22" s="58"/>
      <c r="HM22" s="58"/>
      <c r="HN22" s="62"/>
      <c r="HO22" s="62"/>
      <c r="HP22" s="62"/>
      <c r="HQ22" s="62"/>
      <c r="HR22" s="62"/>
      <c r="HS22" s="62"/>
      <c r="HT22" s="62"/>
      <c r="HU22" s="62"/>
      <c r="HV22" s="62"/>
      <c r="HW22" s="62"/>
      <c r="HX22" s="62"/>
      <c r="HY22" s="62"/>
      <c r="HZ22" s="62"/>
      <c r="IA22" s="62"/>
      <c r="IB22" s="62"/>
      <c r="IC22" s="62"/>
      <c r="ID22" s="4"/>
      <c r="IF22" s="23"/>
      <c r="IG22" s="28"/>
      <c r="IH22" s="28" t="s">
        <v>94</v>
      </c>
      <c r="II22" s="29" t="str">
        <f t="shared" si="2"/>
        <v/>
      </c>
      <c r="IJ22" s="29" t="str">
        <f t="shared" si="3"/>
        <v>ColorNone</v>
      </c>
      <c r="IK22" s="8">
        <f t="shared" si="4"/>
        <v>70</v>
      </c>
      <c r="IL22" s="23"/>
      <c r="IM22" s="1">
        <f>$T$4</f>
        <v>0</v>
      </c>
      <c r="IN22" s="1">
        <v>2</v>
      </c>
    </row>
    <row r="23" spans="1:248" x14ac:dyDescent="0.15">
      <c r="A23" s="236"/>
      <c r="B23" s="6" t="s">
        <v>84</v>
      </c>
      <c r="C23" s="7" t="str">
        <f t="shared" si="5"/>
        <v>*</v>
      </c>
      <c r="D23" s="154" t="s">
        <v>144</v>
      </c>
      <c r="E23" s="124"/>
      <c r="F23" s="93">
        <v>44879</v>
      </c>
      <c r="G23" s="94">
        <v>1</v>
      </c>
      <c r="H23" s="94">
        <v>0</v>
      </c>
      <c r="I23" s="95">
        <v>20</v>
      </c>
      <c r="J23" s="96"/>
      <c r="K23" s="146" t="s">
        <v>169</v>
      </c>
      <c r="L23" s="158">
        <v>44886</v>
      </c>
      <c r="M23" s="159">
        <v>2</v>
      </c>
      <c r="N23" s="159">
        <v>30</v>
      </c>
      <c r="O23" s="160">
        <v>60</v>
      </c>
      <c r="P23" s="167">
        <v>100</v>
      </c>
      <c r="Q23" s="21"/>
      <c r="R23" s="56"/>
      <c r="S23" s="58"/>
      <c r="T23" s="58"/>
      <c r="U23" s="58"/>
      <c r="V23" s="64"/>
      <c r="W23" s="60"/>
      <c r="X23" s="60"/>
      <c r="Y23" s="60"/>
      <c r="Z23" s="60"/>
      <c r="AA23" s="60"/>
      <c r="AB23" s="60"/>
      <c r="AC23" s="60"/>
      <c r="AD23" s="60"/>
      <c r="AE23" s="60"/>
      <c r="AF23" s="60"/>
      <c r="AG23" s="62"/>
      <c r="AH23" s="62"/>
      <c r="AI23" s="60"/>
      <c r="AJ23" s="60"/>
      <c r="AK23" s="60"/>
      <c r="AL23" s="56"/>
      <c r="AM23" s="58"/>
      <c r="AN23" s="58"/>
      <c r="AO23" s="58"/>
      <c r="AP23" s="62"/>
      <c r="AQ23" s="62"/>
      <c r="AR23" s="62"/>
      <c r="AS23" s="62"/>
      <c r="AT23" s="62"/>
      <c r="AU23" s="62"/>
      <c r="AV23" s="60"/>
      <c r="AW23" s="60"/>
      <c r="AX23" s="60"/>
      <c r="AY23" s="60"/>
      <c r="AZ23" s="60"/>
      <c r="BA23" s="60"/>
      <c r="BB23" s="60"/>
      <c r="BC23" s="60"/>
      <c r="BD23" s="60"/>
      <c r="BE23" s="60"/>
      <c r="BF23" s="56"/>
      <c r="BG23" s="58"/>
      <c r="BH23" s="58"/>
      <c r="BI23" s="58"/>
      <c r="BJ23" s="62"/>
      <c r="BK23" s="60"/>
      <c r="BL23" s="60"/>
      <c r="BM23" s="60"/>
      <c r="BN23" s="60"/>
      <c r="BO23" s="60"/>
      <c r="BP23" s="60"/>
      <c r="BQ23" s="60"/>
      <c r="BR23" s="60"/>
      <c r="BS23" s="60"/>
      <c r="BT23" s="60"/>
      <c r="BU23" s="60"/>
      <c r="BV23" s="60"/>
      <c r="BW23" s="60"/>
      <c r="BX23" s="60"/>
      <c r="BY23" s="60"/>
      <c r="BZ23" s="56"/>
      <c r="CA23" s="58"/>
      <c r="CB23" s="58"/>
      <c r="CC23" s="64"/>
      <c r="CD23" s="64"/>
      <c r="CE23" s="60"/>
      <c r="CF23" s="60"/>
      <c r="CG23" s="60"/>
      <c r="CH23" s="60"/>
      <c r="CI23" s="60"/>
      <c r="CJ23" s="60"/>
      <c r="CK23" s="60"/>
      <c r="CL23" s="60"/>
      <c r="CM23" s="60"/>
      <c r="CN23" s="60"/>
      <c r="CO23" s="60"/>
      <c r="CP23" s="60"/>
      <c r="CQ23" s="60"/>
      <c r="CR23" s="60"/>
      <c r="CS23" s="60"/>
      <c r="CT23" s="56"/>
      <c r="CU23" s="64"/>
      <c r="CV23" s="64"/>
      <c r="CW23" s="64"/>
      <c r="CX23" s="64"/>
      <c r="CY23" s="60"/>
      <c r="CZ23" s="60"/>
      <c r="DA23" s="60"/>
      <c r="DB23" s="60"/>
      <c r="DC23" s="60"/>
      <c r="DD23" s="60"/>
      <c r="DE23" s="60"/>
      <c r="DF23" s="60"/>
      <c r="DG23" s="60"/>
      <c r="DH23" s="60"/>
      <c r="DI23" s="60"/>
      <c r="DJ23" s="60"/>
      <c r="DK23" s="60"/>
      <c r="DL23" s="60"/>
      <c r="DM23" s="60"/>
      <c r="DN23" s="56"/>
      <c r="DO23" s="58"/>
      <c r="DP23" s="58"/>
      <c r="DQ23" s="64"/>
      <c r="DR23" s="60"/>
      <c r="DS23" s="60"/>
      <c r="DT23" s="60"/>
      <c r="DU23" s="60"/>
      <c r="DV23" s="60"/>
      <c r="DW23" s="60"/>
      <c r="DX23" s="60"/>
      <c r="DY23" s="60"/>
      <c r="DZ23" s="60"/>
      <c r="EA23" s="60"/>
      <c r="EB23" s="60"/>
      <c r="EC23" s="62"/>
      <c r="ED23" s="62"/>
      <c r="EE23" s="60"/>
      <c r="EF23" s="60"/>
      <c r="EG23" s="60"/>
      <c r="EH23" s="56"/>
      <c r="EI23" s="58"/>
      <c r="EJ23" s="58"/>
      <c r="EK23" s="64"/>
      <c r="EL23" s="60"/>
      <c r="EM23" s="60"/>
      <c r="EN23" s="60"/>
      <c r="EO23" s="60"/>
      <c r="EP23" s="60"/>
      <c r="EQ23" s="60"/>
      <c r="ER23" s="60"/>
      <c r="ES23" s="60"/>
      <c r="ET23" s="60"/>
      <c r="EU23" s="60"/>
      <c r="EV23" s="60"/>
      <c r="EW23" s="60"/>
      <c r="EX23" s="60"/>
      <c r="EY23" s="60"/>
      <c r="EZ23" s="60"/>
      <c r="FA23" s="60"/>
      <c r="FB23" s="56"/>
      <c r="FC23" s="64"/>
      <c r="FD23" s="64"/>
      <c r="FE23" s="64"/>
      <c r="FF23" s="60"/>
      <c r="FG23" s="60"/>
      <c r="FH23" s="60"/>
      <c r="FI23" s="60"/>
      <c r="FJ23" s="60"/>
      <c r="FK23" s="60"/>
      <c r="FL23" s="60"/>
      <c r="FM23" s="60"/>
      <c r="FN23" s="60"/>
      <c r="FO23" s="60"/>
      <c r="FP23" s="60"/>
      <c r="FQ23" s="60"/>
      <c r="FR23" s="60"/>
      <c r="FS23" s="60"/>
      <c r="FT23" s="60"/>
      <c r="FU23" s="60"/>
      <c r="FV23" s="56"/>
      <c r="FW23" s="64"/>
      <c r="FX23" s="64"/>
      <c r="FY23" s="64"/>
      <c r="FZ23" s="60"/>
      <c r="GA23" s="60"/>
      <c r="GB23" s="60"/>
      <c r="GC23" s="60"/>
      <c r="GD23" s="60"/>
      <c r="GE23" s="60"/>
      <c r="GF23" s="60"/>
      <c r="GG23" s="60"/>
      <c r="GH23" s="60"/>
      <c r="GI23" s="60"/>
      <c r="GJ23" s="60"/>
      <c r="GK23" s="60"/>
      <c r="GL23" s="60"/>
      <c r="GM23" s="60"/>
      <c r="GN23" s="60"/>
      <c r="GO23" s="60"/>
      <c r="GP23" s="56"/>
      <c r="GQ23" s="64"/>
      <c r="GR23" s="64"/>
      <c r="GS23" s="64"/>
      <c r="GT23" s="60"/>
      <c r="GU23" s="60"/>
      <c r="GV23" s="60"/>
      <c r="GW23" s="60"/>
      <c r="GX23" s="60"/>
      <c r="GY23" s="60"/>
      <c r="GZ23" s="62"/>
      <c r="HA23" s="62"/>
      <c r="HB23" s="62"/>
      <c r="HC23" s="62"/>
      <c r="HD23" s="62"/>
      <c r="HE23" s="62"/>
      <c r="HF23" s="62"/>
      <c r="HG23" s="62"/>
      <c r="HH23" s="62"/>
      <c r="HI23" s="62"/>
      <c r="HJ23" s="56"/>
      <c r="HK23" s="58"/>
      <c r="HL23" s="58"/>
      <c r="HM23" s="58"/>
      <c r="HN23" s="62"/>
      <c r="HO23" s="62"/>
      <c r="HP23" s="62"/>
      <c r="HQ23" s="62"/>
      <c r="HR23" s="62"/>
      <c r="HS23" s="62"/>
      <c r="HT23" s="62"/>
      <c r="HU23" s="62"/>
      <c r="HV23" s="62"/>
      <c r="HW23" s="62"/>
      <c r="HX23" s="62"/>
      <c r="HY23" s="62"/>
      <c r="HZ23" s="62"/>
      <c r="IA23" s="62"/>
      <c r="IB23" s="62"/>
      <c r="IC23" s="62"/>
      <c r="ID23" s="4"/>
      <c r="IF23" s="23"/>
      <c r="IG23" s="28"/>
      <c r="IH23" s="28" t="s">
        <v>94</v>
      </c>
      <c r="II23" s="29" t="str">
        <f t="shared" si="2"/>
        <v/>
      </c>
      <c r="IJ23" s="29" t="str">
        <f t="shared" si="3"/>
        <v>ColorNone</v>
      </c>
      <c r="IK23" s="8">
        <f t="shared" si="4"/>
        <v>60</v>
      </c>
      <c r="IL23" s="23"/>
      <c r="IM23" s="1">
        <f>$T$5</f>
        <v>0</v>
      </c>
      <c r="IN23" s="1">
        <v>3</v>
      </c>
    </row>
    <row r="24" spans="1:248" ht="14.25" thickBot="1" x14ac:dyDescent="0.2">
      <c r="A24" s="236"/>
      <c r="B24" s="6" t="s">
        <v>85</v>
      </c>
      <c r="C24" s="7" t="str">
        <f t="shared" si="5"/>
        <v/>
      </c>
      <c r="D24" s="154" t="s">
        <v>132</v>
      </c>
      <c r="E24" s="124"/>
      <c r="F24" s="93">
        <v>44879</v>
      </c>
      <c r="G24" s="94">
        <v>1</v>
      </c>
      <c r="H24" s="94">
        <v>20</v>
      </c>
      <c r="I24" s="95">
        <v>180</v>
      </c>
      <c r="J24" s="96"/>
      <c r="K24" s="146" t="s">
        <v>173</v>
      </c>
      <c r="L24" s="158"/>
      <c r="M24" s="159"/>
      <c r="N24" s="159"/>
      <c r="O24" s="160"/>
      <c r="P24" s="167"/>
      <c r="Q24" s="21"/>
      <c r="R24" s="56"/>
      <c r="S24" s="58"/>
      <c r="T24" s="58"/>
      <c r="U24" s="58"/>
      <c r="V24" s="64"/>
      <c r="W24" s="60"/>
      <c r="X24" s="60"/>
      <c r="Y24" s="60"/>
      <c r="Z24" s="60"/>
      <c r="AA24" s="60"/>
      <c r="AB24" s="60"/>
      <c r="AC24" s="60"/>
      <c r="AD24" s="60"/>
      <c r="AE24" s="60"/>
      <c r="AF24" s="60"/>
      <c r="AG24" s="62"/>
      <c r="AH24" s="62"/>
      <c r="AI24" s="60"/>
      <c r="AJ24" s="60"/>
      <c r="AK24" s="60"/>
      <c r="AL24" s="56"/>
      <c r="AM24" s="58"/>
      <c r="AN24" s="58"/>
      <c r="AO24" s="58"/>
      <c r="AP24" s="62"/>
      <c r="AQ24" s="62"/>
      <c r="AR24" s="62"/>
      <c r="AS24" s="62"/>
      <c r="AT24" s="62"/>
      <c r="AU24" s="62"/>
      <c r="AV24" s="60"/>
      <c r="AW24" s="60"/>
      <c r="AX24" s="60"/>
      <c r="AY24" s="60"/>
      <c r="AZ24" s="60"/>
      <c r="BA24" s="60"/>
      <c r="BB24" s="60"/>
      <c r="BC24" s="60"/>
      <c r="BD24" s="60"/>
      <c r="BE24" s="60"/>
      <c r="BF24" s="56"/>
      <c r="BG24" s="58"/>
      <c r="BH24" s="58"/>
      <c r="BI24" s="58"/>
      <c r="BJ24" s="62"/>
      <c r="BK24" s="60"/>
      <c r="BL24" s="60"/>
      <c r="BM24" s="60"/>
      <c r="BN24" s="60"/>
      <c r="BO24" s="60"/>
      <c r="BP24" s="60"/>
      <c r="BQ24" s="60"/>
      <c r="BR24" s="60"/>
      <c r="BS24" s="60"/>
      <c r="BT24" s="60"/>
      <c r="BU24" s="60"/>
      <c r="BV24" s="60"/>
      <c r="BW24" s="60"/>
      <c r="BX24" s="60"/>
      <c r="BY24" s="60"/>
      <c r="BZ24" s="56"/>
      <c r="CA24" s="58"/>
      <c r="CB24" s="58"/>
      <c r="CC24" s="64"/>
      <c r="CD24" s="64"/>
      <c r="CE24" s="60"/>
      <c r="CF24" s="60"/>
      <c r="CG24" s="60"/>
      <c r="CH24" s="60"/>
      <c r="CI24" s="60"/>
      <c r="CJ24" s="60"/>
      <c r="CK24" s="60"/>
      <c r="CL24" s="60"/>
      <c r="CM24" s="60"/>
      <c r="CN24" s="60"/>
      <c r="CO24" s="60"/>
      <c r="CP24" s="60"/>
      <c r="CQ24" s="60"/>
      <c r="CR24" s="60"/>
      <c r="CS24" s="60"/>
      <c r="CT24" s="56"/>
      <c r="CU24" s="64"/>
      <c r="CV24" s="64"/>
      <c r="CW24" s="64"/>
      <c r="CX24" s="64"/>
      <c r="CY24" s="60"/>
      <c r="CZ24" s="60"/>
      <c r="DA24" s="60"/>
      <c r="DB24" s="60"/>
      <c r="DC24" s="60"/>
      <c r="DD24" s="60"/>
      <c r="DE24" s="60"/>
      <c r="DF24" s="60"/>
      <c r="DG24" s="60"/>
      <c r="DH24" s="60"/>
      <c r="DI24" s="60"/>
      <c r="DJ24" s="60"/>
      <c r="DK24" s="60"/>
      <c r="DL24" s="60"/>
      <c r="DM24" s="60"/>
      <c r="DN24" s="56"/>
      <c r="DO24" s="58"/>
      <c r="DP24" s="58"/>
      <c r="DQ24" s="64"/>
      <c r="DR24" s="60"/>
      <c r="DS24" s="60"/>
      <c r="DT24" s="60"/>
      <c r="DU24" s="60"/>
      <c r="DV24" s="60"/>
      <c r="DW24" s="60"/>
      <c r="DX24" s="60"/>
      <c r="DY24" s="60"/>
      <c r="DZ24" s="60"/>
      <c r="EA24" s="60"/>
      <c r="EB24" s="60"/>
      <c r="EC24" s="62"/>
      <c r="ED24" s="62"/>
      <c r="EE24" s="60"/>
      <c r="EF24" s="60"/>
      <c r="EG24" s="60"/>
      <c r="EH24" s="56"/>
      <c r="EI24" s="58"/>
      <c r="EJ24" s="58"/>
      <c r="EK24" s="64"/>
      <c r="EL24" s="60"/>
      <c r="EM24" s="60"/>
      <c r="EN24" s="60"/>
      <c r="EO24" s="60"/>
      <c r="EP24" s="60"/>
      <c r="EQ24" s="60"/>
      <c r="ER24" s="60"/>
      <c r="ES24" s="60"/>
      <c r="ET24" s="60"/>
      <c r="EU24" s="60"/>
      <c r="EV24" s="60"/>
      <c r="EW24" s="60"/>
      <c r="EX24" s="60"/>
      <c r="EY24" s="60"/>
      <c r="EZ24" s="60"/>
      <c r="FA24" s="60"/>
      <c r="FB24" s="56"/>
      <c r="FC24" s="64"/>
      <c r="FD24" s="64"/>
      <c r="FE24" s="64"/>
      <c r="FF24" s="60"/>
      <c r="FG24" s="60"/>
      <c r="FH24" s="60"/>
      <c r="FI24" s="60"/>
      <c r="FJ24" s="60"/>
      <c r="FK24" s="60"/>
      <c r="FL24" s="60"/>
      <c r="FM24" s="60"/>
      <c r="FN24" s="60"/>
      <c r="FO24" s="60"/>
      <c r="FP24" s="60"/>
      <c r="FQ24" s="60"/>
      <c r="FR24" s="60"/>
      <c r="FS24" s="60"/>
      <c r="FT24" s="60"/>
      <c r="FU24" s="60"/>
      <c r="FV24" s="56"/>
      <c r="FW24" s="64"/>
      <c r="FX24" s="64"/>
      <c r="FY24" s="64"/>
      <c r="FZ24" s="60"/>
      <c r="GA24" s="60"/>
      <c r="GB24" s="60"/>
      <c r="GC24" s="60"/>
      <c r="GD24" s="60"/>
      <c r="GE24" s="60"/>
      <c r="GF24" s="60"/>
      <c r="GG24" s="60"/>
      <c r="GH24" s="60"/>
      <c r="GI24" s="60"/>
      <c r="GJ24" s="60"/>
      <c r="GK24" s="60"/>
      <c r="GL24" s="60"/>
      <c r="GM24" s="60"/>
      <c r="GN24" s="60"/>
      <c r="GO24" s="60"/>
      <c r="GP24" s="56"/>
      <c r="GQ24" s="64"/>
      <c r="GR24" s="64"/>
      <c r="GS24" s="64"/>
      <c r="GT24" s="60"/>
      <c r="GU24" s="60"/>
      <c r="GV24" s="60"/>
      <c r="GW24" s="60"/>
      <c r="GX24" s="60"/>
      <c r="GY24" s="60"/>
      <c r="GZ24" s="62"/>
      <c r="HA24" s="62"/>
      <c r="HB24" s="62"/>
      <c r="HC24" s="62"/>
      <c r="HD24" s="62"/>
      <c r="HE24" s="62"/>
      <c r="HF24" s="62"/>
      <c r="HG24" s="62"/>
      <c r="HH24" s="62"/>
      <c r="HI24" s="62"/>
      <c r="HJ24" s="56"/>
      <c r="HK24" s="58"/>
      <c r="HL24" s="58"/>
      <c r="HM24" s="58"/>
      <c r="HN24" s="62"/>
      <c r="HO24" s="62"/>
      <c r="HP24" s="62"/>
      <c r="HQ24" s="62"/>
      <c r="HR24" s="62"/>
      <c r="HS24" s="62"/>
      <c r="HT24" s="62"/>
      <c r="HU24" s="62"/>
      <c r="HV24" s="62"/>
      <c r="HW24" s="62"/>
      <c r="HX24" s="62"/>
      <c r="HY24" s="62"/>
      <c r="HZ24" s="62"/>
      <c r="IA24" s="62"/>
      <c r="IB24" s="62"/>
      <c r="IC24" s="62"/>
      <c r="ID24" s="4"/>
      <c r="IF24" s="23"/>
      <c r="IG24" s="28"/>
      <c r="IH24" s="28" t="s">
        <v>94</v>
      </c>
      <c r="II24" s="29" t="str">
        <f t="shared" si="2"/>
        <v/>
      </c>
      <c r="IJ24" s="29" t="str">
        <f t="shared" si="3"/>
        <v>ColorNone</v>
      </c>
      <c r="IK24" s="9">
        <f t="shared" si="4"/>
        <v>180</v>
      </c>
      <c r="IL24" s="23"/>
    </row>
    <row r="25" spans="1:248" ht="14.25" thickBot="1" x14ac:dyDescent="0.2">
      <c r="A25" s="237"/>
      <c r="B25" s="6" t="s">
        <v>109</v>
      </c>
      <c r="C25" s="7" t="str">
        <f t="shared" si="5"/>
        <v/>
      </c>
      <c r="D25" s="154" t="s">
        <v>75</v>
      </c>
      <c r="E25" s="124"/>
      <c r="F25" s="93">
        <v>44886</v>
      </c>
      <c r="G25" s="94">
        <v>1</v>
      </c>
      <c r="H25" s="94">
        <v>10</v>
      </c>
      <c r="I25" s="95">
        <v>390</v>
      </c>
      <c r="J25" s="96"/>
      <c r="K25" s="146" t="s">
        <v>162</v>
      </c>
      <c r="L25" s="158">
        <v>44893</v>
      </c>
      <c r="M25" s="159">
        <v>2</v>
      </c>
      <c r="N25" s="159">
        <v>10</v>
      </c>
      <c r="O25" s="160">
        <v>200</v>
      </c>
      <c r="P25" s="167">
        <v>5</v>
      </c>
      <c r="Q25" s="21"/>
      <c r="R25" s="56"/>
      <c r="S25" s="58"/>
      <c r="T25" s="58"/>
      <c r="U25" s="58"/>
      <c r="V25" s="64"/>
      <c r="W25" s="60"/>
      <c r="X25" s="60"/>
      <c r="Y25" s="60"/>
      <c r="Z25" s="60"/>
      <c r="AA25" s="60"/>
      <c r="AB25" s="60"/>
      <c r="AC25" s="60"/>
      <c r="AD25" s="60"/>
      <c r="AE25" s="60"/>
      <c r="AF25" s="60"/>
      <c r="AG25" s="62"/>
      <c r="AH25" s="62"/>
      <c r="AI25" s="60"/>
      <c r="AJ25" s="60"/>
      <c r="AK25" s="60"/>
      <c r="AL25" s="56"/>
      <c r="AM25" s="58"/>
      <c r="AN25" s="58"/>
      <c r="AO25" s="58"/>
      <c r="AP25" s="62"/>
      <c r="AQ25" s="62"/>
      <c r="AR25" s="62"/>
      <c r="AS25" s="62"/>
      <c r="AT25" s="62"/>
      <c r="AU25" s="62"/>
      <c r="AV25" s="60"/>
      <c r="AW25" s="60"/>
      <c r="AX25" s="60"/>
      <c r="AY25" s="60"/>
      <c r="AZ25" s="60"/>
      <c r="BA25" s="60"/>
      <c r="BB25" s="60"/>
      <c r="BC25" s="60"/>
      <c r="BD25" s="60"/>
      <c r="BE25" s="60"/>
      <c r="BF25" s="56"/>
      <c r="BG25" s="58"/>
      <c r="BH25" s="58"/>
      <c r="BI25" s="58"/>
      <c r="BJ25" s="62"/>
      <c r="BK25" s="60"/>
      <c r="BL25" s="60"/>
      <c r="BM25" s="60"/>
      <c r="BN25" s="60"/>
      <c r="BO25" s="60"/>
      <c r="BP25" s="60"/>
      <c r="BQ25" s="60"/>
      <c r="BR25" s="60"/>
      <c r="BS25" s="60"/>
      <c r="BT25" s="60"/>
      <c r="BU25" s="60"/>
      <c r="BV25" s="60"/>
      <c r="BW25" s="60"/>
      <c r="BX25" s="60"/>
      <c r="BY25" s="60"/>
      <c r="BZ25" s="56"/>
      <c r="CA25" s="58"/>
      <c r="CB25" s="58"/>
      <c r="CC25" s="64"/>
      <c r="CD25" s="64"/>
      <c r="CE25" s="60"/>
      <c r="CF25" s="60"/>
      <c r="CG25" s="60"/>
      <c r="CH25" s="60"/>
      <c r="CI25" s="60"/>
      <c r="CJ25" s="60"/>
      <c r="CK25" s="60"/>
      <c r="CL25" s="60"/>
      <c r="CM25" s="60"/>
      <c r="CN25" s="60"/>
      <c r="CO25" s="60"/>
      <c r="CP25" s="60"/>
      <c r="CQ25" s="60"/>
      <c r="CR25" s="60"/>
      <c r="CS25" s="60"/>
      <c r="CT25" s="56"/>
      <c r="CU25" s="64"/>
      <c r="CV25" s="64"/>
      <c r="CW25" s="64"/>
      <c r="CX25" s="64"/>
      <c r="CY25" s="60"/>
      <c r="CZ25" s="60"/>
      <c r="DA25" s="60"/>
      <c r="DB25" s="60"/>
      <c r="DC25" s="60"/>
      <c r="DD25" s="60"/>
      <c r="DE25" s="60"/>
      <c r="DF25" s="60"/>
      <c r="DG25" s="60"/>
      <c r="DH25" s="60"/>
      <c r="DI25" s="60"/>
      <c r="DJ25" s="60"/>
      <c r="DK25" s="60"/>
      <c r="DL25" s="60"/>
      <c r="DM25" s="60"/>
      <c r="DN25" s="56"/>
      <c r="DO25" s="58"/>
      <c r="DP25" s="58"/>
      <c r="DQ25" s="64"/>
      <c r="DR25" s="60"/>
      <c r="DS25" s="60"/>
      <c r="DT25" s="60"/>
      <c r="DU25" s="60"/>
      <c r="DV25" s="60"/>
      <c r="DW25" s="60"/>
      <c r="DX25" s="60"/>
      <c r="DY25" s="60"/>
      <c r="DZ25" s="60"/>
      <c r="EA25" s="60"/>
      <c r="EB25" s="60"/>
      <c r="EC25" s="62"/>
      <c r="ED25" s="62"/>
      <c r="EE25" s="60"/>
      <c r="EF25" s="60"/>
      <c r="EG25" s="60"/>
      <c r="EH25" s="56"/>
      <c r="EI25" s="58"/>
      <c r="EJ25" s="58"/>
      <c r="EK25" s="64"/>
      <c r="EL25" s="60"/>
      <c r="EM25" s="60"/>
      <c r="EN25" s="60"/>
      <c r="EO25" s="60"/>
      <c r="EP25" s="60"/>
      <c r="EQ25" s="60"/>
      <c r="ER25" s="60"/>
      <c r="ES25" s="60"/>
      <c r="ET25" s="60"/>
      <c r="EU25" s="60"/>
      <c r="EV25" s="60"/>
      <c r="EW25" s="60"/>
      <c r="EX25" s="60"/>
      <c r="EY25" s="60"/>
      <c r="EZ25" s="60"/>
      <c r="FA25" s="60"/>
      <c r="FB25" s="56"/>
      <c r="FC25" s="64"/>
      <c r="FD25" s="64"/>
      <c r="FE25" s="64"/>
      <c r="FF25" s="60"/>
      <c r="FG25" s="60"/>
      <c r="FH25" s="60"/>
      <c r="FI25" s="60"/>
      <c r="FJ25" s="60"/>
      <c r="FK25" s="60"/>
      <c r="FL25" s="60"/>
      <c r="FM25" s="60"/>
      <c r="FN25" s="60"/>
      <c r="FO25" s="60"/>
      <c r="FP25" s="60"/>
      <c r="FQ25" s="60"/>
      <c r="FR25" s="60"/>
      <c r="FS25" s="60"/>
      <c r="FT25" s="60"/>
      <c r="FU25" s="60"/>
      <c r="FV25" s="56"/>
      <c r="FW25" s="64"/>
      <c r="FX25" s="64"/>
      <c r="FY25" s="64"/>
      <c r="FZ25" s="60"/>
      <c r="GA25" s="60"/>
      <c r="GB25" s="60"/>
      <c r="GC25" s="60"/>
      <c r="GD25" s="60"/>
      <c r="GE25" s="60"/>
      <c r="GF25" s="60"/>
      <c r="GG25" s="60"/>
      <c r="GH25" s="60"/>
      <c r="GI25" s="60"/>
      <c r="GJ25" s="60"/>
      <c r="GK25" s="60"/>
      <c r="GL25" s="60"/>
      <c r="GM25" s="60"/>
      <c r="GN25" s="60"/>
      <c r="GO25" s="60"/>
      <c r="GP25" s="56"/>
      <c r="GQ25" s="64"/>
      <c r="GR25" s="64"/>
      <c r="GS25" s="64"/>
      <c r="GT25" s="60"/>
      <c r="GU25" s="60"/>
      <c r="GV25" s="60"/>
      <c r="GW25" s="60"/>
      <c r="GX25" s="60"/>
      <c r="GY25" s="60"/>
      <c r="GZ25" s="62"/>
      <c r="HA25" s="62"/>
      <c r="HB25" s="62"/>
      <c r="HC25" s="62"/>
      <c r="HD25" s="62"/>
      <c r="HE25" s="62"/>
      <c r="HF25" s="62"/>
      <c r="HG25" s="62"/>
      <c r="HH25" s="62"/>
      <c r="HI25" s="62"/>
      <c r="HJ25" s="56"/>
      <c r="HK25" s="58"/>
      <c r="HL25" s="58"/>
      <c r="HM25" s="58"/>
      <c r="HN25" s="62"/>
      <c r="HO25" s="62"/>
      <c r="HP25" s="62"/>
      <c r="HQ25" s="62"/>
      <c r="HR25" s="62"/>
      <c r="HS25" s="62"/>
      <c r="HT25" s="62"/>
      <c r="HU25" s="62"/>
      <c r="HV25" s="62"/>
      <c r="HW25" s="62"/>
      <c r="HX25" s="62"/>
      <c r="HY25" s="62"/>
      <c r="HZ25" s="62"/>
      <c r="IA25" s="62"/>
      <c r="IB25" s="62"/>
      <c r="IC25" s="62"/>
      <c r="ID25" s="4"/>
      <c r="IF25" s="23"/>
      <c r="IG25" s="28"/>
      <c r="IH25" s="28" t="s">
        <v>94</v>
      </c>
      <c r="II25" s="29" t="str">
        <f t="shared" si="2"/>
        <v/>
      </c>
      <c r="IJ25" s="29" t="str">
        <f t="shared" si="3"/>
        <v>ColorNone</v>
      </c>
      <c r="IK25" s="9">
        <f t="shared" si="4"/>
        <v>200</v>
      </c>
      <c r="IL25" s="23"/>
    </row>
    <row r="26" spans="1:248" ht="14.25" thickBot="1" x14ac:dyDescent="0.2">
      <c r="A26" s="237"/>
      <c r="B26" s="6" t="s">
        <v>111</v>
      </c>
      <c r="C26" s="7" t="str">
        <f t="shared" si="5"/>
        <v/>
      </c>
      <c r="D26" s="154" t="s">
        <v>133</v>
      </c>
      <c r="E26" s="124"/>
      <c r="F26" s="93">
        <v>44886</v>
      </c>
      <c r="G26" s="94">
        <v>1</v>
      </c>
      <c r="H26" s="94">
        <v>30</v>
      </c>
      <c r="I26" s="95">
        <v>230</v>
      </c>
      <c r="J26" s="96"/>
      <c r="K26" s="175" t="s">
        <v>163</v>
      </c>
      <c r="L26" s="158">
        <v>44893</v>
      </c>
      <c r="M26" s="159">
        <v>1</v>
      </c>
      <c r="N26" s="159">
        <v>0</v>
      </c>
      <c r="O26" s="160">
        <v>200</v>
      </c>
      <c r="P26" s="167">
        <v>90</v>
      </c>
      <c r="Q26" s="21"/>
      <c r="R26" s="56"/>
      <c r="S26" s="58"/>
      <c r="T26" s="58"/>
      <c r="U26" s="58"/>
      <c r="V26" s="64"/>
      <c r="W26" s="60"/>
      <c r="X26" s="60"/>
      <c r="Y26" s="60"/>
      <c r="Z26" s="60"/>
      <c r="AA26" s="60"/>
      <c r="AB26" s="60"/>
      <c r="AC26" s="60"/>
      <c r="AD26" s="60"/>
      <c r="AE26" s="60"/>
      <c r="AF26" s="60"/>
      <c r="AG26" s="62"/>
      <c r="AH26" s="62"/>
      <c r="AI26" s="60"/>
      <c r="AJ26" s="60"/>
      <c r="AK26" s="60"/>
      <c r="AL26" s="56"/>
      <c r="AM26" s="58"/>
      <c r="AN26" s="58"/>
      <c r="AO26" s="58"/>
      <c r="AP26" s="62"/>
      <c r="AQ26" s="62"/>
      <c r="AR26" s="62"/>
      <c r="AS26" s="62"/>
      <c r="AT26" s="62"/>
      <c r="AU26" s="62"/>
      <c r="AV26" s="60"/>
      <c r="AW26" s="60"/>
      <c r="AX26" s="60"/>
      <c r="AY26" s="60"/>
      <c r="AZ26" s="60"/>
      <c r="BA26" s="60"/>
      <c r="BB26" s="60"/>
      <c r="BC26" s="60"/>
      <c r="BD26" s="60"/>
      <c r="BE26" s="60"/>
      <c r="BF26" s="56"/>
      <c r="BG26" s="58"/>
      <c r="BH26" s="58"/>
      <c r="BI26" s="58"/>
      <c r="BJ26" s="62"/>
      <c r="BK26" s="60"/>
      <c r="BL26" s="60"/>
      <c r="BM26" s="60"/>
      <c r="BN26" s="60"/>
      <c r="BO26" s="60"/>
      <c r="BP26" s="60"/>
      <c r="BQ26" s="60"/>
      <c r="BR26" s="60"/>
      <c r="BS26" s="60"/>
      <c r="BT26" s="60"/>
      <c r="BU26" s="60"/>
      <c r="BV26" s="60"/>
      <c r="BW26" s="60"/>
      <c r="BX26" s="60"/>
      <c r="BY26" s="60"/>
      <c r="BZ26" s="56"/>
      <c r="CA26" s="58"/>
      <c r="CB26" s="58"/>
      <c r="CC26" s="64"/>
      <c r="CD26" s="64"/>
      <c r="CE26" s="60"/>
      <c r="CF26" s="60"/>
      <c r="CG26" s="60"/>
      <c r="CH26" s="60"/>
      <c r="CI26" s="60"/>
      <c r="CJ26" s="60"/>
      <c r="CK26" s="60"/>
      <c r="CL26" s="60"/>
      <c r="CM26" s="60"/>
      <c r="CN26" s="60"/>
      <c r="CO26" s="60"/>
      <c r="CP26" s="60"/>
      <c r="CQ26" s="60"/>
      <c r="CR26" s="60"/>
      <c r="CS26" s="60"/>
      <c r="CT26" s="56"/>
      <c r="CU26" s="64"/>
      <c r="CV26" s="64"/>
      <c r="CW26" s="64"/>
      <c r="CX26" s="64"/>
      <c r="CY26" s="60"/>
      <c r="CZ26" s="60"/>
      <c r="DA26" s="60"/>
      <c r="DB26" s="60"/>
      <c r="DC26" s="60"/>
      <c r="DD26" s="60"/>
      <c r="DE26" s="60"/>
      <c r="DF26" s="60"/>
      <c r="DG26" s="60"/>
      <c r="DH26" s="60"/>
      <c r="DI26" s="60"/>
      <c r="DJ26" s="60"/>
      <c r="DK26" s="60"/>
      <c r="DL26" s="60"/>
      <c r="DM26" s="60"/>
      <c r="DN26" s="56"/>
      <c r="DO26" s="58"/>
      <c r="DP26" s="58"/>
      <c r="DQ26" s="64"/>
      <c r="DR26" s="60"/>
      <c r="DS26" s="60"/>
      <c r="DT26" s="60"/>
      <c r="DU26" s="60"/>
      <c r="DV26" s="60"/>
      <c r="DW26" s="60"/>
      <c r="DX26" s="60"/>
      <c r="DY26" s="60"/>
      <c r="DZ26" s="60"/>
      <c r="EA26" s="60"/>
      <c r="EB26" s="60"/>
      <c r="EC26" s="62"/>
      <c r="ED26" s="62"/>
      <c r="EE26" s="60"/>
      <c r="EF26" s="60"/>
      <c r="EG26" s="60"/>
      <c r="EH26" s="56"/>
      <c r="EI26" s="58"/>
      <c r="EJ26" s="58"/>
      <c r="EK26" s="64"/>
      <c r="EL26" s="60"/>
      <c r="EM26" s="60"/>
      <c r="EN26" s="60"/>
      <c r="EO26" s="60"/>
      <c r="EP26" s="60"/>
      <c r="EQ26" s="60"/>
      <c r="ER26" s="60"/>
      <c r="ES26" s="60"/>
      <c r="ET26" s="60"/>
      <c r="EU26" s="60"/>
      <c r="EV26" s="60"/>
      <c r="EW26" s="60"/>
      <c r="EX26" s="60"/>
      <c r="EY26" s="60"/>
      <c r="EZ26" s="60"/>
      <c r="FA26" s="60"/>
      <c r="FB26" s="56"/>
      <c r="FC26" s="64"/>
      <c r="FD26" s="64"/>
      <c r="FE26" s="64"/>
      <c r="FF26" s="60"/>
      <c r="FG26" s="60"/>
      <c r="FH26" s="60"/>
      <c r="FI26" s="60"/>
      <c r="FJ26" s="60"/>
      <c r="FK26" s="60"/>
      <c r="FL26" s="60"/>
      <c r="FM26" s="60"/>
      <c r="FN26" s="60"/>
      <c r="FO26" s="60"/>
      <c r="FP26" s="60"/>
      <c r="FQ26" s="60"/>
      <c r="FR26" s="60"/>
      <c r="FS26" s="60"/>
      <c r="FT26" s="60"/>
      <c r="FU26" s="60"/>
      <c r="FV26" s="56"/>
      <c r="FW26" s="64"/>
      <c r="FX26" s="64"/>
      <c r="FY26" s="64"/>
      <c r="FZ26" s="60"/>
      <c r="GA26" s="60"/>
      <c r="GB26" s="60"/>
      <c r="GC26" s="60"/>
      <c r="GD26" s="60"/>
      <c r="GE26" s="60"/>
      <c r="GF26" s="60"/>
      <c r="GG26" s="60"/>
      <c r="GH26" s="60"/>
      <c r="GI26" s="60"/>
      <c r="GJ26" s="60"/>
      <c r="GK26" s="60"/>
      <c r="GL26" s="60"/>
      <c r="GM26" s="60"/>
      <c r="GN26" s="60"/>
      <c r="GO26" s="60"/>
      <c r="GP26" s="56"/>
      <c r="GQ26" s="64"/>
      <c r="GR26" s="64"/>
      <c r="GS26" s="64"/>
      <c r="GT26" s="60"/>
      <c r="GU26" s="60"/>
      <c r="GV26" s="60"/>
      <c r="GW26" s="60"/>
      <c r="GX26" s="60"/>
      <c r="GY26" s="60"/>
      <c r="GZ26" s="62"/>
      <c r="HA26" s="62"/>
      <c r="HB26" s="62"/>
      <c r="HC26" s="62"/>
      <c r="HD26" s="62"/>
      <c r="HE26" s="62"/>
      <c r="HF26" s="62"/>
      <c r="HG26" s="62"/>
      <c r="HH26" s="62"/>
      <c r="HI26" s="62"/>
      <c r="HJ26" s="56"/>
      <c r="HK26" s="58"/>
      <c r="HL26" s="58"/>
      <c r="HM26" s="58"/>
      <c r="HN26" s="62"/>
      <c r="HO26" s="62"/>
      <c r="HP26" s="62"/>
      <c r="HQ26" s="62"/>
      <c r="HR26" s="62"/>
      <c r="HS26" s="62"/>
      <c r="HT26" s="62"/>
      <c r="HU26" s="62"/>
      <c r="HV26" s="62"/>
      <c r="HW26" s="62"/>
      <c r="HX26" s="62"/>
      <c r="HY26" s="62"/>
      <c r="HZ26" s="62"/>
      <c r="IA26" s="62"/>
      <c r="IB26" s="62"/>
      <c r="IC26" s="62"/>
      <c r="ID26" s="4"/>
      <c r="IF26" s="23"/>
      <c r="IG26" s="28"/>
      <c r="IH26" s="28" t="s">
        <v>94</v>
      </c>
      <c r="II26" s="29" t="str">
        <f t="shared" si="2"/>
        <v/>
      </c>
      <c r="IJ26" s="29" t="str">
        <f t="shared" si="3"/>
        <v>ColorNone</v>
      </c>
      <c r="IK26" s="9">
        <f t="shared" si="4"/>
        <v>200</v>
      </c>
      <c r="IL26" s="23"/>
    </row>
    <row r="27" spans="1:248" ht="14.25" thickBot="1" x14ac:dyDescent="0.2">
      <c r="A27" s="238"/>
      <c r="B27" s="6" t="s">
        <v>120</v>
      </c>
      <c r="C27" s="7" t="str">
        <f t="shared" si="5"/>
        <v/>
      </c>
      <c r="D27" s="154" t="s">
        <v>145</v>
      </c>
      <c r="E27" s="124"/>
      <c r="F27" s="93">
        <v>44893</v>
      </c>
      <c r="G27" s="94">
        <v>2</v>
      </c>
      <c r="H27" s="94">
        <v>0</v>
      </c>
      <c r="I27" s="95">
        <v>20</v>
      </c>
      <c r="J27" s="96"/>
      <c r="K27" s="146" t="s">
        <v>174</v>
      </c>
      <c r="L27" s="158"/>
      <c r="M27" s="159"/>
      <c r="N27" s="159"/>
      <c r="O27" s="160"/>
      <c r="P27" s="167"/>
      <c r="Q27" s="21"/>
      <c r="R27" s="56"/>
      <c r="S27" s="58"/>
      <c r="T27" s="58"/>
      <c r="U27" s="58"/>
      <c r="V27" s="64"/>
      <c r="W27" s="60"/>
      <c r="X27" s="60"/>
      <c r="Y27" s="60"/>
      <c r="Z27" s="60"/>
      <c r="AA27" s="60"/>
      <c r="AB27" s="60"/>
      <c r="AC27" s="60"/>
      <c r="AD27" s="60"/>
      <c r="AE27" s="60"/>
      <c r="AF27" s="60"/>
      <c r="AG27" s="62"/>
      <c r="AH27" s="62"/>
      <c r="AI27" s="60"/>
      <c r="AJ27" s="60"/>
      <c r="AK27" s="60"/>
      <c r="AL27" s="56"/>
      <c r="AM27" s="58"/>
      <c r="AN27" s="58"/>
      <c r="AO27" s="58"/>
      <c r="AP27" s="62"/>
      <c r="AQ27" s="62"/>
      <c r="AR27" s="62"/>
      <c r="AS27" s="62"/>
      <c r="AT27" s="62"/>
      <c r="AU27" s="62"/>
      <c r="AV27" s="60"/>
      <c r="AW27" s="60"/>
      <c r="AX27" s="60"/>
      <c r="AY27" s="60"/>
      <c r="AZ27" s="60"/>
      <c r="BA27" s="60"/>
      <c r="BB27" s="60"/>
      <c r="BC27" s="60"/>
      <c r="BD27" s="60"/>
      <c r="BE27" s="60"/>
      <c r="BF27" s="56"/>
      <c r="BG27" s="58"/>
      <c r="BH27" s="58"/>
      <c r="BI27" s="58"/>
      <c r="BJ27" s="62"/>
      <c r="BK27" s="60"/>
      <c r="BL27" s="60"/>
      <c r="BM27" s="60"/>
      <c r="BN27" s="60"/>
      <c r="BO27" s="60"/>
      <c r="BP27" s="60"/>
      <c r="BQ27" s="60"/>
      <c r="BR27" s="60"/>
      <c r="BS27" s="60"/>
      <c r="BT27" s="60"/>
      <c r="BU27" s="60"/>
      <c r="BV27" s="60"/>
      <c r="BW27" s="60"/>
      <c r="BX27" s="60"/>
      <c r="BY27" s="60"/>
      <c r="BZ27" s="56"/>
      <c r="CA27" s="58"/>
      <c r="CB27" s="58"/>
      <c r="CC27" s="64"/>
      <c r="CD27" s="64"/>
      <c r="CE27" s="60"/>
      <c r="CF27" s="60"/>
      <c r="CG27" s="60"/>
      <c r="CH27" s="60"/>
      <c r="CI27" s="60"/>
      <c r="CJ27" s="60"/>
      <c r="CK27" s="60"/>
      <c r="CL27" s="60"/>
      <c r="CM27" s="60"/>
      <c r="CN27" s="60"/>
      <c r="CO27" s="60"/>
      <c r="CP27" s="60"/>
      <c r="CQ27" s="60"/>
      <c r="CR27" s="60"/>
      <c r="CS27" s="60"/>
      <c r="CT27" s="56"/>
      <c r="CU27" s="64"/>
      <c r="CV27" s="64"/>
      <c r="CW27" s="64"/>
      <c r="CX27" s="64"/>
      <c r="CY27" s="60"/>
      <c r="CZ27" s="60"/>
      <c r="DA27" s="60"/>
      <c r="DB27" s="60"/>
      <c r="DC27" s="60"/>
      <c r="DD27" s="60"/>
      <c r="DE27" s="60"/>
      <c r="DF27" s="60"/>
      <c r="DG27" s="60"/>
      <c r="DH27" s="60"/>
      <c r="DI27" s="60"/>
      <c r="DJ27" s="60"/>
      <c r="DK27" s="60"/>
      <c r="DL27" s="60"/>
      <c r="DM27" s="60"/>
      <c r="DN27" s="56"/>
      <c r="DO27" s="58"/>
      <c r="DP27" s="58"/>
      <c r="DQ27" s="64"/>
      <c r="DR27" s="60"/>
      <c r="DS27" s="60"/>
      <c r="DT27" s="60"/>
      <c r="DU27" s="60"/>
      <c r="DV27" s="60"/>
      <c r="DW27" s="60"/>
      <c r="DX27" s="60"/>
      <c r="DY27" s="60"/>
      <c r="DZ27" s="60"/>
      <c r="EA27" s="60"/>
      <c r="EB27" s="60"/>
      <c r="EC27" s="62"/>
      <c r="ED27" s="62"/>
      <c r="EE27" s="60"/>
      <c r="EF27" s="60"/>
      <c r="EG27" s="60"/>
      <c r="EH27" s="56"/>
      <c r="EI27" s="58"/>
      <c r="EJ27" s="58"/>
      <c r="EK27" s="64"/>
      <c r="EL27" s="60"/>
      <c r="EM27" s="60"/>
      <c r="EN27" s="60"/>
      <c r="EO27" s="60"/>
      <c r="EP27" s="60"/>
      <c r="EQ27" s="60"/>
      <c r="ER27" s="60"/>
      <c r="ES27" s="60"/>
      <c r="ET27" s="60"/>
      <c r="EU27" s="60"/>
      <c r="EV27" s="60"/>
      <c r="EW27" s="60"/>
      <c r="EX27" s="60"/>
      <c r="EY27" s="60"/>
      <c r="EZ27" s="60"/>
      <c r="FA27" s="60"/>
      <c r="FB27" s="56"/>
      <c r="FC27" s="64"/>
      <c r="FD27" s="64"/>
      <c r="FE27" s="64"/>
      <c r="FF27" s="60"/>
      <c r="FG27" s="60"/>
      <c r="FH27" s="60"/>
      <c r="FI27" s="60"/>
      <c r="FJ27" s="60"/>
      <c r="FK27" s="60"/>
      <c r="FL27" s="60"/>
      <c r="FM27" s="60"/>
      <c r="FN27" s="60"/>
      <c r="FO27" s="60"/>
      <c r="FP27" s="60"/>
      <c r="FQ27" s="60"/>
      <c r="FR27" s="60"/>
      <c r="FS27" s="60"/>
      <c r="FT27" s="60"/>
      <c r="FU27" s="60"/>
      <c r="FV27" s="56"/>
      <c r="FW27" s="64"/>
      <c r="FX27" s="64"/>
      <c r="FY27" s="64"/>
      <c r="FZ27" s="60"/>
      <c r="GA27" s="60"/>
      <c r="GB27" s="60"/>
      <c r="GC27" s="60"/>
      <c r="GD27" s="60"/>
      <c r="GE27" s="60"/>
      <c r="GF27" s="60"/>
      <c r="GG27" s="60"/>
      <c r="GH27" s="60"/>
      <c r="GI27" s="60"/>
      <c r="GJ27" s="60"/>
      <c r="GK27" s="60"/>
      <c r="GL27" s="60"/>
      <c r="GM27" s="60"/>
      <c r="GN27" s="60"/>
      <c r="GO27" s="60"/>
      <c r="GP27" s="56"/>
      <c r="GQ27" s="64"/>
      <c r="GR27" s="64"/>
      <c r="GS27" s="64"/>
      <c r="GT27" s="60"/>
      <c r="GU27" s="60"/>
      <c r="GV27" s="60"/>
      <c r="GW27" s="60"/>
      <c r="GX27" s="60"/>
      <c r="GY27" s="60"/>
      <c r="GZ27" s="62"/>
      <c r="HA27" s="62"/>
      <c r="HB27" s="62"/>
      <c r="HC27" s="62"/>
      <c r="HD27" s="62"/>
      <c r="HE27" s="62"/>
      <c r="HF27" s="62"/>
      <c r="HG27" s="62"/>
      <c r="HH27" s="62"/>
      <c r="HI27" s="62"/>
      <c r="HJ27" s="56"/>
      <c r="HK27" s="58"/>
      <c r="HL27" s="58"/>
      <c r="HM27" s="58"/>
      <c r="HN27" s="62"/>
      <c r="HO27" s="62"/>
      <c r="HP27" s="62"/>
      <c r="HQ27" s="62"/>
      <c r="HR27" s="62"/>
      <c r="HS27" s="62"/>
      <c r="HT27" s="62"/>
      <c r="HU27" s="62"/>
      <c r="HV27" s="62"/>
      <c r="HW27" s="62"/>
      <c r="HX27" s="62"/>
      <c r="HY27" s="62"/>
      <c r="HZ27" s="62"/>
      <c r="IA27" s="62"/>
      <c r="IB27" s="62"/>
      <c r="IC27" s="62"/>
      <c r="ID27" s="4"/>
      <c r="IF27" s="23"/>
      <c r="IG27" s="28"/>
      <c r="IH27" s="28" t="s">
        <v>94</v>
      </c>
      <c r="II27" s="29" t="str">
        <f t="shared" si="2"/>
        <v/>
      </c>
      <c r="IJ27" s="29" t="str">
        <f t="shared" si="3"/>
        <v>ColorNone</v>
      </c>
      <c r="IK27" s="9">
        <f t="shared" si="4"/>
        <v>20</v>
      </c>
      <c r="IL27" s="23"/>
    </row>
    <row r="28" spans="1:248" ht="14.25" thickBot="1" x14ac:dyDescent="0.2">
      <c r="A28" s="238"/>
      <c r="B28" s="6" t="s">
        <v>121</v>
      </c>
      <c r="C28" s="7" t="str">
        <f t="shared" si="5"/>
        <v/>
      </c>
      <c r="D28" s="154" t="s">
        <v>146</v>
      </c>
      <c r="E28" s="124"/>
      <c r="F28" s="93">
        <v>44900</v>
      </c>
      <c r="G28" s="94">
        <v>1</v>
      </c>
      <c r="H28" s="94">
        <v>20</v>
      </c>
      <c r="I28" s="95">
        <v>20</v>
      </c>
      <c r="J28" s="96"/>
      <c r="K28" s="146" t="s">
        <v>162</v>
      </c>
      <c r="L28" s="158"/>
      <c r="M28" s="159"/>
      <c r="N28" s="159"/>
      <c r="O28" s="160"/>
      <c r="P28" s="167"/>
      <c r="Q28" s="21"/>
      <c r="R28" s="56"/>
      <c r="S28" s="58"/>
      <c r="T28" s="58"/>
      <c r="U28" s="58"/>
      <c r="V28" s="64"/>
      <c r="W28" s="60"/>
      <c r="X28" s="60"/>
      <c r="Y28" s="60"/>
      <c r="Z28" s="60"/>
      <c r="AA28" s="60"/>
      <c r="AB28" s="60"/>
      <c r="AC28" s="60"/>
      <c r="AD28" s="60"/>
      <c r="AE28" s="60"/>
      <c r="AF28" s="60"/>
      <c r="AG28" s="62"/>
      <c r="AH28" s="62"/>
      <c r="AI28" s="60"/>
      <c r="AJ28" s="60"/>
      <c r="AK28" s="60"/>
      <c r="AL28" s="56"/>
      <c r="AM28" s="58"/>
      <c r="AN28" s="58"/>
      <c r="AO28" s="58"/>
      <c r="AP28" s="62"/>
      <c r="AQ28" s="62"/>
      <c r="AR28" s="62"/>
      <c r="AS28" s="62"/>
      <c r="AT28" s="62"/>
      <c r="AU28" s="62"/>
      <c r="AV28" s="60"/>
      <c r="AW28" s="60"/>
      <c r="AX28" s="60"/>
      <c r="AY28" s="60"/>
      <c r="AZ28" s="60"/>
      <c r="BA28" s="60"/>
      <c r="BB28" s="60"/>
      <c r="BC28" s="60"/>
      <c r="BD28" s="60"/>
      <c r="BE28" s="60"/>
      <c r="BF28" s="56"/>
      <c r="BG28" s="58"/>
      <c r="BH28" s="58"/>
      <c r="BI28" s="58"/>
      <c r="BJ28" s="62"/>
      <c r="BK28" s="60"/>
      <c r="BL28" s="60"/>
      <c r="BM28" s="60"/>
      <c r="BN28" s="60"/>
      <c r="BO28" s="60"/>
      <c r="BP28" s="60"/>
      <c r="BQ28" s="60"/>
      <c r="BR28" s="60"/>
      <c r="BS28" s="60"/>
      <c r="BT28" s="60"/>
      <c r="BU28" s="60"/>
      <c r="BV28" s="60"/>
      <c r="BW28" s="60"/>
      <c r="BX28" s="60"/>
      <c r="BY28" s="60"/>
      <c r="BZ28" s="56"/>
      <c r="CA28" s="58"/>
      <c r="CB28" s="58"/>
      <c r="CC28" s="64"/>
      <c r="CD28" s="64"/>
      <c r="CE28" s="60"/>
      <c r="CF28" s="60"/>
      <c r="CG28" s="60"/>
      <c r="CH28" s="60"/>
      <c r="CI28" s="60"/>
      <c r="CJ28" s="60"/>
      <c r="CK28" s="60"/>
      <c r="CL28" s="60"/>
      <c r="CM28" s="60"/>
      <c r="CN28" s="60"/>
      <c r="CO28" s="60"/>
      <c r="CP28" s="60"/>
      <c r="CQ28" s="60"/>
      <c r="CR28" s="60"/>
      <c r="CS28" s="60"/>
      <c r="CT28" s="56"/>
      <c r="CU28" s="64"/>
      <c r="CV28" s="64"/>
      <c r="CW28" s="64"/>
      <c r="CX28" s="64"/>
      <c r="CY28" s="60"/>
      <c r="CZ28" s="60"/>
      <c r="DA28" s="60"/>
      <c r="DB28" s="60"/>
      <c r="DC28" s="60"/>
      <c r="DD28" s="60"/>
      <c r="DE28" s="60"/>
      <c r="DF28" s="60"/>
      <c r="DG28" s="60"/>
      <c r="DH28" s="60"/>
      <c r="DI28" s="60"/>
      <c r="DJ28" s="60"/>
      <c r="DK28" s="60"/>
      <c r="DL28" s="60"/>
      <c r="DM28" s="60"/>
      <c r="DN28" s="56"/>
      <c r="DO28" s="58"/>
      <c r="DP28" s="58"/>
      <c r="DQ28" s="64"/>
      <c r="DR28" s="60"/>
      <c r="DS28" s="60"/>
      <c r="DT28" s="60"/>
      <c r="DU28" s="60"/>
      <c r="DV28" s="60"/>
      <c r="DW28" s="60"/>
      <c r="DX28" s="60"/>
      <c r="DY28" s="60"/>
      <c r="DZ28" s="60"/>
      <c r="EA28" s="60"/>
      <c r="EB28" s="60"/>
      <c r="EC28" s="62"/>
      <c r="ED28" s="62"/>
      <c r="EE28" s="60"/>
      <c r="EF28" s="60"/>
      <c r="EG28" s="60"/>
      <c r="EH28" s="56"/>
      <c r="EI28" s="58"/>
      <c r="EJ28" s="58"/>
      <c r="EK28" s="64"/>
      <c r="EL28" s="60"/>
      <c r="EM28" s="60"/>
      <c r="EN28" s="60"/>
      <c r="EO28" s="60"/>
      <c r="EP28" s="60"/>
      <c r="EQ28" s="60"/>
      <c r="ER28" s="60"/>
      <c r="ES28" s="60"/>
      <c r="ET28" s="60"/>
      <c r="EU28" s="60"/>
      <c r="EV28" s="60"/>
      <c r="EW28" s="60"/>
      <c r="EX28" s="60"/>
      <c r="EY28" s="60"/>
      <c r="EZ28" s="60"/>
      <c r="FA28" s="60"/>
      <c r="FB28" s="56"/>
      <c r="FC28" s="64"/>
      <c r="FD28" s="64"/>
      <c r="FE28" s="64"/>
      <c r="FF28" s="60"/>
      <c r="FG28" s="60"/>
      <c r="FH28" s="60"/>
      <c r="FI28" s="60"/>
      <c r="FJ28" s="60"/>
      <c r="FK28" s="60"/>
      <c r="FL28" s="60"/>
      <c r="FM28" s="60"/>
      <c r="FN28" s="60"/>
      <c r="FO28" s="60"/>
      <c r="FP28" s="60"/>
      <c r="FQ28" s="60"/>
      <c r="FR28" s="60"/>
      <c r="FS28" s="60"/>
      <c r="FT28" s="60"/>
      <c r="FU28" s="60"/>
      <c r="FV28" s="56"/>
      <c r="FW28" s="64"/>
      <c r="FX28" s="64"/>
      <c r="FY28" s="64"/>
      <c r="FZ28" s="60"/>
      <c r="GA28" s="60"/>
      <c r="GB28" s="60"/>
      <c r="GC28" s="60"/>
      <c r="GD28" s="60"/>
      <c r="GE28" s="60"/>
      <c r="GF28" s="60"/>
      <c r="GG28" s="60"/>
      <c r="GH28" s="60"/>
      <c r="GI28" s="60"/>
      <c r="GJ28" s="60"/>
      <c r="GK28" s="60"/>
      <c r="GL28" s="60"/>
      <c r="GM28" s="60"/>
      <c r="GN28" s="60"/>
      <c r="GO28" s="60"/>
      <c r="GP28" s="56"/>
      <c r="GQ28" s="64"/>
      <c r="GR28" s="64"/>
      <c r="GS28" s="64"/>
      <c r="GT28" s="60"/>
      <c r="GU28" s="60"/>
      <c r="GV28" s="60"/>
      <c r="GW28" s="60"/>
      <c r="GX28" s="60"/>
      <c r="GY28" s="60"/>
      <c r="GZ28" s="62"/>
      <c r="HA28" s="62"/>
      <c r="HB28" s="62"/>
      <c r="HC28" s="62"/>
      <c r="HD28" s="62"/>
      <c r="HE28" s="62"/>
      <c r="HF28" s="62"/>
      <c r="HG28" s="62"/>
      <c r="HH28" s="62"/>
      <c r="HI28" s="62"/>
      <c r="HJ28" s="56"/>
      <c r="HK28" s="58"/>
      <c r="HL28" s="58"/>
      <c r="HM28" s="58"/>
      <c r="HN28" s="62"/>
      <c r="HO28" s="62"/>
      <c r="HP28" s="62"/>
      <c r="HQ28" s="62"/>
      <c r="HR28" s="62"/>
      <c r="HS28" s="62"/>
      <c r="HT28" s="62"/>
      <c r="HU28" s="62"/>
      <c r="HV28" s="62"/>
      <c r="HW28" s="62"/>
      <c r="HX28" s="62"/>
      <c r="HY28" s="62"/>
      <c r="HZ28" s="62"/>
      <c r="IA28" s="62"/>
      <c r="IB28" s="62"/>
      <c r="IC28" s="62"/>
      <c r="ID28" s="4"/>
      <c r="IF28" s="23"/>
      <c r="IG28" s="28"/>
      <c r="IH28" s="28" t="s">
        <v>94</v>
      </c>
      <c r="II28" s="29" t="str">
        <f t="shared" si="2"/>
        <v/>
      </c>
      <c r="IJ28" s="29" t="str">
        <f t="shared" ref="IJ28:IJ33" si="6">IF(II28&lt;&gt;"","ColorTeam"&amp;II28, "ColorNone")</f>
        <v>ColorNone</v>
      </c>
      <c r="IK28" s="9">
        <f t="shared" si="4"/>
        <v>20</v>
      </c>
      <c r="IL28" s="23"/>
    </row>
    <row r="29" spans="1:248" ht="14.25" thickBot="1" x14ac:dyDescent="0.2">
      <c r="A29" s="238"/>
      <c r="B29" s="6" t="s">
        <v>122</v>
      </c>
      <c r="C29" s="7" t="str">
        <f t="shared" si="5"/>
        <v/>
      </c>
      <c r="D29" s="154" t="s">
        <v>134</v>
      </c>
      <c r="E29" s="124"/>
      <c r="F29" s="93">
        <v>44900</v>
      </c>
      <c r="G29" s="94">
        <v>1</v>
      </c>
      <c r="H29" s="94">
        <v>40</v>
      </c>
      <c r="I29" s="95">
        <v>160</v>
      </c>
      <c r="J29" s="96"/>
      <c r="K29" s="146" t="s">
        <v>164</v>
      </c>
      <c r="L29" s="158"/>
      <c r="M29" s="159"/>
      <c r="N29" s="159"/>
      <c r="O29" s="160"/>
      <c r="P29" s="167"/>
      <c r="Q29" s="21"/>
      <c r="R29" s="56"/>
      <c r="S29" s="58"/>
      <c r="T29" s="58"/>
      <c r="U29" s="58"/>
      <c r="V29" s="64"/>
      <c r="W29" s="60"/>
      <c r="X29" s="60"/>
      <c r="Y29" s="60"/>
      <c r="Z29" s="60"/>
      <c r="AA29" s="60"/>
      <c r="AB29" s="60"/>
      <c r="AC29" s="60"/>
      <c r="AD29" s="60"/>
      <c r="AE29" s="60"/>
      <c r="AF29" s="60"/>
      <c r="AG29" s="62"/>
      <c r="AH29" s="62"/>
      <c r="AI29" s="60"/>
      <c r="AJ29" s="60"/>
      <c r="AK29" s="60"/>
      <c r="AL29" s="56"/>
      <c r="AM29" s="58"/>
      <c r="AN29" s="58"/>
      <c r="AO29" s="58"/>
      <c r="AP29" s="62"/>
      <c r="AQ29" s="62"/>
      <c r="AR29" s="62"/>
      <c r="AS29" s="62"/>
      <c r="AT29" s="62"/>
      <c r="AU29" s="62"/>
      <c r="AV29" s="60"/>
      <c r="AW29" s="60"/>
      <c r="AX29" s="60"/>
      <c r="AY29" s="60"/>
      <c r="AZ29" s="60"/>
      <c r="BA29" s="60"/>
      <c r="BB29" s="60"/>
      <c r="BC29" s="60"/>
      <c r="BD29" s="60"/>
      <c r="BE29" s="60"/>
      <c r="BF29" s="56"/>
      <c r="BG29" s="58"/>
      <c r="BH29" s="58"/>
      <c r="BI29" s="58"/>
      <c r="BJ29" s="62"/>
      <c r="BK29" s="60"/>
      <c r="BL29" s="60"/>
      <c r="BM29" s="60"/>
      <c r="BN29" s="60"/>
      <c r="BO29" s="60"/>
      <c r="BP29" s="60"/>
      <c r="BQ29" s="60"/>
      <c r="BR29" s="60"/>
      <c r="BS29" s="60"/>
      <c r="BT29" s="60"/>
      <c r="BU29" s="60"/>
      <c r="BV29" s="60"/>
      <c r="BW29" s="60"/>
      <c r="BX29" s="60"/>
      <c r="BY29" s="60"/>
      <c r="BZ29" s="56"/>
      <c r="CA29" s="58"/>
      <c r="CB29" s="58"/>
      <c r="CC29" s="64"/>
      <c r="CD29" s="64"/>
      <c r="CE29" s="60"/>
      <c r="CF29" s="60"/>
      <c r="CG29" s="60"/>
      <c r="CH29" s="60"/>
      <c r="CI29" s="60"/>
      <c r="CJ29" s="60"/>
      <c r="CK29" s="60"/>
      <c r="CL29" s="60"/>
      <c r="CM29" s="60"/>
      <c r="CN29" s="60"/>
      <c r="CO29" s="60"/>
      <c r="CP29" s="60"/>
      <c r="CQ29" s="60"/>
      <c r="CR29" s="60"/>
      <c r="CS29" s="60"/>
      <c r="CT29" s="56"/>
      <c r="CU29" s="64"/>
      <c r="CV29" s="64"/>
      <c r="CW29" s="64"/>
      <c r="CX29" s="64"/>
      <c r="CY29" s="60"/>
      <c r="CZ29" s="60"/>
      <c r="DA29" s="60"/>
      <c r="DB29" s="60"/>
      <c r="DC29" s="60"/>
      <c r="DD29" s="60"/>
      <c r="DE29" s="60"/>
      <c r="DF29" s="60"/>
      <c r="DG29" s="60"/>
      <c r="DH29" s="60"/>
      <c r="DI29" s="60"/>
      <c r="DJ29" s="60"/>
      <c r="DK29" s="60"/>
      <c r="DL29" s="60"/>
      <c r="DM29" s="60"/>
      <c r="DN29" s="56"/>
      <c r="DO29" s="58"/>
      <c r="DP29" s="58"/>
      <c r="DQ29" s="64"/>
      <c r="DR29" s="60"/>
      <c r="DS29" s="60"/>
      <c r="DT29" s="60"/>
      <c r="DU29" s="60"/>
      <c r="DV29" s="60"/>
      <c r="DW29" s="60"/>
      <c r="DX29" s="60"/>
      <c r="DY29" s="60"/>
      <c r="DZ29" s="60"/>
      <c r="EA29" s="60"/>
      <c r="EB29" s="60"/>
      <c r="EC29" s="62"/>
      <c r="ED29" s="62"/>
      <c r="EE29" s="60"/>
      <c r="EF29" s="60"/>
      <c r="EG29" s="60"/>
      <c r="EH29" s="56"/>
      <c r="EI29" s="58"/>
      <c r="EJ29" s="58"/>
      <c r="EK29" s="64"/>
      <c r="EL29" s="60"/>
      <c r="EM29" s="60"/>
      <c r="EN29" s="60"/>
      <c r="EO29" s="60"/>
      <c r="EP29" s="60"/>
      <c r="EQ29" s="60"/>
      <c r="ER29" s="60"/>
      <c r="ES29" s="60"/>
      <c r="ET29" s="60"/>
      <c r="EU29" s="60"/>
      <c r="EV29" s="60"/>
      <c r="EW29" s="60"/>
      <c r="EX29" s="60"/>
      <c r="EY29" s="60"/>
      <c r="EZ29" s="60"/>
      <c r="FA29" s="60"/>
      <c r="FB29" s="56"/>
      <c r="FC29" s="64"/>
      <c r="FD29" s="64"/>
      <c r="FE29" s="64"/>
      <c r="FF29" s="60"/>
      <c r="FG29" s="60"/>
      <c r="FH29" s="60"/>
      <c r="FI29" s="60"/>
      <c r="FJ29" s="60"/>
      <c r="FK29" s="60"/>
      <c r="FL29" s="60"/>
      <c r="FM29" s="60"/>
      <c r="FN29" s="60"/>
      <c r="FO29" s="60"/>
      <c r="FP29" s="60"/>
      <c r="FQ29" s="60"/>
      <c r="FR29" s="60"/>
      <c r="FS29" s="60"/>
      <c r="FT29" s="60"/>
      <c r="FU29" s="60"/>
      <c r="FV29" s="56"/>
      <c r="FW29" s="64"/>
      <c r="FX29" s="64"/>
      <c r="FY29" s="64"/>
      <c r="FZ29" s="60"/>
      <c r="GA29" s="60"/>
      <c r="GB29" s="60"/>
      <c r="GC29" s="60"/>
      <c r="GD29" s="60"/>
      <c r="GE29" s="60"/>
      <c r="GF29" s="60"/>
      <c r="GG29" s="60"/>
      <c r="GH29" s="60"/>
      <c r="GI29" s="60"/>
      <c r="GJ29" s="60"/>
      <c r="GK29" s="60"/>
      <c r="GL29" s="60"/>
      <c r="GM29" s="60"/>
      <c r="GN29" s="60"/>
      <c r="GO29" s="60"/>
      <c r="GP29" s="56"/>
      <c r="GQ29" s="64"/>
      <c r="GR29" s="64"/>
      <c r="GS29" s="64"/>
      <c r="GT29" s="60"/>
      <c r="GU29" s="60"/>
      <c r="GV29" s="60"/>
      <c r="GW29" s="60"/>
      <c r="GX29" s="60"/>
      <c r="GY29" s="60"/>
      <c r="GZ29" s="62"/>
      <c r="HA29" s="62"/>
      <c r="HB29" s="62"/>
      <c r="HC29" s="62"/>
      <c r="HD29" s="62"/>
      <c r="HE29" s="62"/>
      <c r="HF29" s="62"/>
      <c r="HG29" s="62"/>
      <c r="HH29" s="62"/>
      <c r="HI29" s="62"/>
      <c r="HJ29" s="56"/>
      <c r="HK29" s="58"/>
      <c r="HL29" s="58"/>
      <c r="HM29" s="58"/>
      <c r="HN29" s="62"/>
      <c r="HO29" s="62"/>
      <c r="HP29" s="62"/>
      <c r="HQ29" s="62"/>
      <c r="HR29" s="62"/>
      <c r="HS29" s="62"/>
      <c r="HT29" s="62"/>
      <c r="HU29" s="62"/>
      <c r="HV29" s="62"/>
      <c r="HW29" s="62"/>
      <c r="HX29" s="62"/>
      <c r="HY29" s="62"/>
      <c r="HZ29" s="62"/>
      <c r="IA29" s="62"/>
      <c r="IB29" s="62"/>
      <c r="IC29" s="62"/>
      <c r="ID29" s="4"/>
      <c r="IF29" s="23"/>
      <c r="IG29" s="28"/>
      <c r="IH29" s="28" t="s">
        <v>94</v>
      </c>
      <c r="II29" s="29" t="str">
        <f t="shared" si="2"/>
        <v/>
      </c>
      <c r="IJ29" s="29" t="str">
        <f t="shared" si="6"/>
        <v>ColorNone</v>
      </c>
      <c r="IK29" s="9">
        <f t="shared" si="4"/>
        <v>160</v>
      </c>
      <c r="IL29" s="23"/>
    </row>
    <row r="30" spans="1:248" ht="14.25" thickBot="1" x14ac:dyDescent="0.2">
      <c r="A30" s="238"/>
      <c r="B30" s="6" t="s">
        <v>123</v>
      </c>
      <c r="C30" s="7" t="str">
        <f t="shared" si="5"/>
        <v/>
      </c>
      <c r="D30" s="154" t="s">
        <v>135</v>
      </c>
      <c r="E30" s="124"/>
      <c r="F30" s="93">
        <v>44900</v>
      </c>
      <c r="G30" s="94">
        <v>2</v>
      </c>
      <c r="H30" s="94">
        <v>30</v>
      </c>
      <c r="I30" s="95">
        <v>90</v>
      </c>
      <c r="J30" s="96"/>
      <c r="K30" s="146" t="s">
        <v>175</v>
      </c>
      <c r="L30" s="158"/>
      <c r="M30" s="159"/>
      <c r="N30" s="159"/>
      <c r="O30" s="160"/>
      <c r="P30" s="167"/>
      <c r="Q30" s="21"/>
      <c r="R30" s="56"/>
      <c r="S30" s="58"/>
      <c r="T30" s="58"/>
      <c r="U30" s="58"/>
      <c r="V30" s="64"/>
      <c r="W30" s="60"/>
      <c r="X30" s="60"/>
      <c r="Y30" s="60"/>
      <c r="Z30" s="60"/>
      <c r="AA30" s="60"/>
      <c r="AB30" s="60"/>
      <c r="AC30" s="60"/>
      <c r="AD30" s="60"/>
      <c r="AE30" s="60"/>
      <c r="AF30" s="60"/>
      <c r="AG30" s="62"/>
      <c r="AH30" s="62"/>
      <c r="AI30" s="60"/>
      <c r="AJ30" s="60"/>
      <c r="AK30" s="60"/>
      <c r="AL30" s="56"/>
      <c r="AM30" s="58"/>
      <c r="AN30" s="58"/>
      <c r="AO30" s="58"/>
      <c r="AP30" s="62"/>
      <c r="AQ30" s="62"/>
      <c r="AR30" s="62"/>
      <c r="AS30" s="62"/>
      <c r="AT30" s="62"/>
      <c r="AU30" s="62"/>
      <c r="AV30" s="60"/>
      <c r="AW30" s="60"/>
      <c r="AX30" s="60"/>
      <c r="AY30" s="60"/>
      <c r="AZ30" s="60"/>
      <c r="BA30" s="60"/>
      <c r="BB30" s="60"/>
      <c r="BC30" s="60"/>
      <c r="BD30" s="60"/>
      <c r="BE30" s="60"/>
      <c r="BF30" s="56"/>
      <c r="BG30" s="58"/>
      <c r="BH30" s="58"/>
      <c r="BI30" s="58"/>
      <c r="BJ30" s="62"/>
      <c r="BK30" s="60"/>
      <c r="BL30" s="60"/>
      <c r="BM30" s="60"/>
      <c r="BN30" s="60"/>
      <c r="BO30" s="60"/>
      <c r="BP30" s="60"/>
      <c r="BQ30" s="60"/>
      <c r="BR30" s="60"/>
      <c r="BS30" s="60"/>
      <c r="BT30" s="60"/>
      <c r="BU30" s="60"/>
      <c r="BV30" s="60"/>
      <c r="BW30" s="60"/>
      <c r="BX30" s="60"/>
      <c r="BY30" s="60"/>
      <c r="BZ30" s="56"/>
      <c r="CA30" s="58"/>
      <c r="CB30" s="58"/>
      <c r="CC30" s="64"/>
      <c r="CD30" s="64"/>
      <c r="CE30" s="60"/>
      <c r="CF30" s="60"/>
      <c r="CG30" s="60"/>
      <c r="CH30" s="60"/>
      <c r="CI30" s="60"/>
      <c r="CJ30" s="60"/>
      <c r="CK30" s="60"/>
      <c r="CL30" s="60"/>
      <c r="CM30" s="60"/>
      <c r="CN30" s="60"/>
      <c r="CO30" s="60"/>
      <c r="CP30" s="60"/>
      <c r="CQ30" s="60"/>
      <c r="CR30" s="60"/>
      <c r="CS30" s="60"/>
      <c r="CT30" s="56"/>
      <c r="CU30" s="64"/>
      <c r="CV30" s="64"/>
      <c r="CW30" s="64"/>
      <c r="CX30" s="64"/>
      <c r="CY30" s="60"/>
      <c r="CZ30" s="60"/>
      <c r="DA30" s="60"/>
      <c r="DB30" s="60"/>
      <c r="DC30" s="60"/>
      <c r="DD30" s="60"/>
      <c r="DE30" s="60"/>
      <c r="DF30" s="60"/>
      <c r="DG30" s="60"/>
      <c r="DH30" s="60"/>
      <c r="DI30" s="60"/>
      <c r="DJ30" s="60"/>
      <c r="DK30" s="60"/>
      <c r="DL30" s="60"/>
      <c r="DM30" s="60"/>
      <c r="DN30" s="56"/>
      <c r="DO30" s="58"/>
      <c r="DP30" s="58"/>
      <c r="DQ30" s="64"/>
      <c r="DR30" s="60"/>
      <c r="DS30" s="60"/>
      <c r="DT30" s="60"/>
      <c r="DU30" s="60"/>
      <c r="DV30" s="60"/>
      <c r="DW30" s="60"/>
      <c r="DX30" s="60"/>
      <c r="DY30" s="60"/>
      <c r="DZ30" s="60"/>
      <c r="EA30" s="60"/>
      <c r="EB30" s="60"/>
      <c r="EC30" s="62"/>
      <c r="ED30" s="62"/>
      <c r="EE30" s="60"/>
      <c r="EF30" s="60"/>
      <c r="EG30" s="60"/>
      <c r="EH30" s="56"/>
      <c r="EI30" s="58"/>
      <c r="EJ30" s="58"/>
      <c r="EK30" s="64"/>
      <c r="EL30" s="60"/>
      <c r="EM30" s="60"/>
      <c r="EN30" s="60"/>
      <c r="EO30" s="60"/>
      <c r="EP30" s="60"/>
      <c r="EQ30" s="60"/>
      <c r="ER30" s="60"/>
      <c r="ES30" s="60"/>
      <c r="ET30" s="60"/>
      <c r="EU30" s="60"/>
      <c r="EV30" s="60"/>
      <c r="EW30" s="60"/>
      <c r="EX30" s="60"/>
      <c r="EY30" s="60"/>
      <c r="EZ30" s="60"/>
      <c r="FA30" s="60"/>
      <c r="FB30" s="56"/>
      <c r="FC30" s="64"/>
      <c r="FD30" s="64"/>
      <c r="FE30" s="64"/>
      <c r="FF30" s="60"/>
      <c r="FG30" s="60"/>
      <c r="FH30" s="60"/>
      <c r="FI30" s="60"/>
      <c r="FJ30" s="60"/>
      <c r="FK30" s="60"/>
      <c r="FL30" s="60"/>
      <c r="FM30" s="60"/>
      <c r="FN30" s="60"/>
      <c r="FO30" s="60"/>
      <c r="FP30" s="60"/>
      <c r="FQ30" s="60"/>
      <c r="FR30" s="60"/>
      <c r="FS30" s="60"/>
      <c r="FT30" s="60"/>
      <c r="FU30" s="60"/>
      <c r="FV30" s="56"/>
      <c r="FW30" s="64"/>
      <c r="FX30" s="64"/>
      <c r="FY30" s="64"/>
      <c r="FZ30" s="60"/>
      <c r="GA30" s="60"/>
      <c r="GB30" s="60"/>
      <c r="GC30" s="60"/>
      <c r="GD30" s="60"/>
      <c r="GE30" s="60"/>
      <c r="GF30" s="60"/>
      <c r="GG30" s="60"/>
      <c r="GH30" s="60"/>
      <c r="GI30" s="60"/>
      <c r="GJ30" s="60"/>
      <c r="GK30" s="60"/>
      <c r="GL30" s="60"/>
      <c r="GM30" s="60"/>
      <c r="GN30" s="60"/>
      <c r="GO30" s="60"/>
      <c r="GP30" s="56"/>
      <c r="GQ30" s="64"/>
      <c r="GR30" s="64"/>
      <c r="GS30" s="64"/>
      <c r="GT30" s="60"/>
      <c r="GU30" s="60"/>
      <c r="GV30" s="60"/>
      <c r="GW30" s="60"/>
      <c r="GX30" s="60"/>
      <c r="GY30" s="60"/>
      <c r="GZ30" s="62"/>
      <c r="HA30" s="62"/>
      <c r="HB30" s="62"/>
      <c r="HC30" s="62"/>
      <c r="HD30" s="62"/>
      <c r="HE30" s="62"/>
      <c r="HF30" s="62"/>
      <c r="HG30" s="62"/>
      <c r="HH30" s="62"/>
      <c r="HI30" s="62"/>
      <c r="HJ30" s="56"/>
      <c r="HK30" s="58"/>
      <c r="HL30" s="58"/>
      <c r="HM30" s="58"/>
      <c r="HN30" s="62"/>
      <c r="HO30" s="62"/>
      <c r="HP30" s="62"/>
      <c r="HQ30" s="62"/>
      <c r="HR30" s="62"/>
      <c r="HS30" s="62"/>
      <c r="HT30" s="62"/>
      <c r="HU30" s="62"/>
      <c r="HV30" s="62"/>
      <c r="HW30" s="62"/>
      <c r="HX30" s="62"/>
      <c r="HY30" s="62"/>
      <c r="HZ30" s="62"/>
      <c r="IA30" s="62"/>
      <c r="IB30" s="62"/>
      <c r="IC30" s="62"/>
      <c r="ID30" s="4"/>
      <c r="IF30" s="23"/>
      <c r="IG30" s="28"/>
      <c r="IH30" s="28" t="s">
        <v>94</v>
      </c>
      <c r="II30" s="29" t="str">
        <f t="shared" si="2"/>
        <v/>
      </c>
      <c r="IJ30" s="29" t="str">
        <f t="shared" si="6"/>
        <v>ColorNone</v>
      </c>
      <c r="IK30" s="9">
        <f t="shared" si="4"/>
        <v>90</v>
      </c>
      <c r="IL30" s="23"/>
    </row>
    <row r="31" spans="1:248" ht="14.25" thickBot="1" x14ac:dyDescent="0.2">
      <c r="A31" s="238"/>
      <c r="B31" s="6" t="s">
        <v>124</v>
      </c>
      <c r="C31" s="7" t="str">
        <f t="shared" si="5"/>
        <v/>
      </c>
      <c r="D31" s="154" t="s">
        <v>136</v>
      </c>
      <c r="E31" s="124"/>
      <c r="F31" s="93">
        <v>44900</v>
      </c>
      <c r="G31" s="94">
        <v>2</v>
      </c>
      <c r="H31" s="94">
        <v>60</v>
      </c>
      <c r="I31" s="95">
        <v>70</v>
      </c>
      <c r="J31" s="96"/>
      <c r="K31" s="146" t="s">
        <v>159</v>
      </c>
      <c r="L31" s="158"/>
      <c r="M31" s="159"/>
      <c r="N31" s="159"/>
      <c r="O31" s="160"/>
      <c r="P31" s="167"/>
      <c r="Q31" s="21"/>
      <c r="R31" s="56"/>
      <c r="S31" s="58"/>
      <c r="T31" s="58"/>
      <c r="U31" s="58"/>
      <c r="V31" s="64"/>
      <c r="W31" s="60"/>
      <c r="X31" s="60"/>
      <c r="Y31" s="60"/>
      <c r="Z31" s="60"/>
      <c r="AA31" s="60"/>
      <c r="AB31" s="60"/>
      <c r="AC31" s="60"/>
      <c r="AD31" s="60"/>
      <c r="AE31" s="60"/>
      <c r="AF31" s="60"/>
      <c r="AG31" s="62"/>
      <c r="AH31" s="62"/>
      <c r="AI31" s="60"/>
      <c r="AJ31" s="60"/>
      <c r="AK31" s="60"/>
      <c r="AL31" s="56"/>
      <c r="AM31" s="58"/>
      <c r="AN31" s="58"/>
      <c r="AO31" s="58"/>
      <c r="AP31" s="62"/>
      <c r="AQ31" s="62"/>
      <c r="AR31" s="62"/>
      <c r="AS31" s="62"/>
      <c r="AT31" s="62"/>
      <c r="AU31" s="62"/>
      <c r="AV31" s="60"/>
      <c r="AW31" s="60"/>
      <c r="AX31" s="60"/>
      <c r="AY31" s="60"/>
      <c r="AZ31" s="60"/>
      <c r="BA31" s="60"/>
      <c r="BB31" s="60"/>
      <c r="BC31" s="60"/>
      <c r="BD31" s="60"/>
      <c r="BE31" s="60"/>
      <c r="BF31" s="56"/>
      <c r="BG31" s="58"/>
      <c r="BH31" s="58"/>
      <c r="BI31" s="58"/>
      <c r="BJ31" s="62"/>
      <c r="BK31" s="60"/>
      <c r="BL31" s="60"/>
      <c r="BM31" s="60"/>
      <c r="BN31" s="60"/>
      <c r="BO31" s="60"/>
      <c r="BP31" s="60"/>
      <c r="BQ31" s="60"/>
      <c r="BR31" s="60"/>
      <c r="BS31" s="60"/>
      <c r="BT31" s="60"/>
      <c r="BU31" s="60"/>
      <c r="BV31" s="60"/>
      <c r="BW31" s="60"/>
      <c r="BX31" s="60"/>
      <c r="BY31" s="60"/>
      <c r="BZ31" s="56"/>
      <c r="CA31" s="58"/>
      <c r="CB31" s="58"/>
      <c r="CC31" s="64"/>
      <c r="CD31" s="64"/>
      <c r="CE31" s="60"/>
      <c r="CF31" s="60"/>
      <c r="CG31" s="60"/>
      <c r="CH31" s="60"/>
      <c r="CI31" s="60"/>
      <c r="CJ31" s="60"/>
      <c r="CK31" s="60"/>
      <c r="CL31" s="60"/>
      <c r="CM31" s="60"/>
      <c r="CN31" s="60"/>
      <c r="CO31" s="60"/>
      <c r="CP31" s="60"/>
      <c r="CQ31" s="60"/>
      <c r="CR31" s="60"/>
      <c r="CS31" s="60"/>
      <c r="CT31" s="56"/>
      <c r="CU31" s="64"/>
      <c r="CV31" s="64"/>
      <c r="CW31" s="64"/>
      <c r="CX31" s="64"/>
      <c r="CY31" s="60"/>
      <c r="CZ31" s="60"/>
      <c r="DA31" s="60"/>
      <c r="DB31" s="60"/>
      <c r="DC31" s="60"/>
      <c r="DD31" s="60"/>
      <c r="DE31" s="60"/>
      <c r="DF31" s="60"/>
      <c r="DG31" s="60"/>
      <c r="DH31" s="60"/>
      <c r="DI31" s="60"/>
      <c r="DJ31" s="60"/>
      <c r="DK31" s="60"/>
      <c r="DL31" s="60"/>
      <c r="DM31" s="60"/>
      <c r="DN31" s="56"/>
      <c r="DO31" s="58"/>
      <c r="DP31" s="58"/>
      <c r="DQ31" s="64"/>
      <c r="DR31" s="60"/>
      <c r="DS31" s="60"/>
      <c r="DT31" s="60"/>
      <c r="DU31" s="60"/>
      <c r="DV31" s="60"/>
      <c r="DW31" s="60"/>
      <c r="DX31" s="60"/>
      <c r="DY31" s="60"/>
      <c r="DZ31" s="60"/>
      <c r="EA31" s="60"/>
      <c r="EB31" s="60"/>
      <c r="EC31" s="62"/>
      <c r="ED31" s="62"/>
      <c r="EE31" s="60"/>
      <c r="EF31" s="60"/>
      <c r="EG31" s="60"/>
      <c r="EH31" s="56"/>
      <c r="EI31" s="58"/>
      <c r="EJ31" s="58"/>
      <c r="EK31" s="64"/>
      <c r="EL31" s="60"/>
      <c r="EM31" s="60"/>
      <c r="EN31" s="60"/>
      <c r="EO31" s="60"/>
      <c r="EP31" s="60"/>
      <c r="EQ31" s="60"/>
      <c r="ER31" s="60"/>
      <c r="ES31" s="60"/>
      <c r="ET31" s="60"/>
      <c r="EU31" s="60"/>
      <c r="EV31" s="60"/>
      <c r="EW31" s="60"/>
      <c r="EX31" s="60"/>
      <c r="EY31" s="60"/>
      <c r="EZ31" s="60"/>
      <c r="FA31" s="60"/>
      <c r="FB31" s="56"/>
      <c r="FC31" s="64"/>
      <c r="FD31" s="64"/>
      <c r="FE31" s="64"/>
      <c r="FF31" s="60"/>
      <c r="FG31" s="60"/>
      <c r="FH31" s="60"/>
      <c r="FI31" s="60"/>
      <c r="FJ31" s="60"/>
      <c r="FK31" s="60"/>
      <c r="FL31" s="60"/>
      <c r="FM31" s="60"/>
      <c r="FN31" s="60"/>
      <c r="FO31" s="60"/>
      <c r="FP31" s="60"/>
      <c r="FQ31" s="60"/>
      <c r="FR31" s="60"/>
      <c r="FS31" s="60"/>
      <c r="FT31" s="60"/>
      <c r="FU31" s="60"/>
      <c r="FV31" s="56"/>
      <c r="FW31" s="64"/>
      <c r="FX31" s="64"/>
      <c r="FY31" s="64"/>
      <c r="FZ31" s="60"/>
      <c r="GA31" s="60"/>
      <c r="GB31" s="60"/>
      <c r="GC31" s="60"/>
      <c r="GD31" s="60"/>
      <c r="GE31" s="60"/>
      <c r="GF31" s="60"/>
      <c r="GG31" s="60"/>
      <c r="GH31" s="60"/>
      <c r="GI31" s="60"/>
      <c r="GJ31" s="60"/>
      <c r="GK31" s="60"/>
      <c r="GL31" s="60"/>
      <c r="GM31" s="60"/>
      <c r="GN31" s="60"/>
      <c r="GO31" s="60"/>
      <c r="GP31" s="56"/>
      <c r="GQ31" s="64"/>
      <c r="GR31" s="64"/>
      <c r="GS31" s="64"/>
      <c r="GT31" s="60"/>
      <c r="GU31" s="60"/>
      <c r="GV31" s="60"/>
      <c r="GW31" s="60"/>
      <c r="GX31" s="60"/>
      <c r="GY31" s="60"/>
      <c r="GZ31" s="62"/>
      <c r="HA31" s="62"/>
      <c r="HB31" s="62"/>
      <c r="HC31" s="62"/>
      <c r="HD31" s="62"/>
      <c r="HE31" s="62"/>
      <c r="HF31" s="62"/>
      <c r="HG31" s="62"/>
      <c r="HH31" s="62"/>
      <c r="HI31" s="62"/>
      <c r="HJ31" s="56"/>
      <c r="HK31" s="58"/>
      <c r="HL31" s="58"/>
      <c r="HM31" s="58"/>
      <c r="HN31" s="62"/>
      <c r="HO31" s="62"/>
      <c r="HP31" s="62"/>
      <c r="HQ31" s="62"/>
      <c r="HR31" s="62"/>
      <c r="HS31" s="62"/>
      <c r="HT31" s="62"/>
      <c r="HU31" s="62"/>
      <c r="HV31" s="62"/>
      <c r="HW31" s="62"/>
      <c r="HX31" s="62"/>
      <c r="HY31" s="62"/>
      <c r="HZ31" s="62"/>
      <c r="IA31" s="62"/>
      <c r="IB31" s="62"/>
      <c r="IC31" s="62"/>
      <c r="ID31" s="4"/>
      <c r="IF31" s="23"/>
      <c r="IG31" s="28"/>
      <c r="IH31" s="28" t="s">
        <v>94</v>
      </c>
      <c r="II31" s="29" t="str">
        <f t="shared" si="2"/>
        <v/>
      </c>
      <c r="IJ31" s="29" t="str">
        <f t="shared" si="6"/>
        <v>ColorNone</v>
      </c>
      <c r="IK31" s="9">
        <f t="shared" si="4"/>
        <v>70</v>
      </c>
      <c r="IL31" s="23"/>
    </row>
    <row r="32" spans="1:248" ht="14.25" thickBot="1" x14ac:dyDescent="0.2">
      <c r="A32" s="238"/>
      <c r="B32" s="6" t="s">
        <v>137</v>
      </c>
      <c r="C32" s="7" t="str">
        <f t="shared" si="5"/>
        <v/>
      </c>
      <c r="D32" s="154" t="s">
        <v>149</v>
      </c>
      <c r="E32" s="124"/>
      <c r="F32" s="93">
        <v>44907</v>
      </c>
      <c r="G32" s="94">
        <v>1</v>
      </c>
      <c r="H32" s="94">
        <v>30</v>
      </c>
      <c r="I32" s="95">
        <v>30</v>
      </c>
      <c r="J32" s="96"/>
      <c r="K32" s="146" t="s">
        <v>176</v>
      </c>
      <c r="L32" s="158"/>
      <c r="M32" s="159"/>
      <c r="N32" s="159"/>
      <c r="O32" s="160"/>
      <c r="P32" s="167"/>
      <c r="Q32" s="21"/>
      <c r="R32" s="56"/>
      <c r="S32" s="58"/>
      <c r="T32" s="58"/>
      <c r="U32" s="58"/>
      <c r="V32" s="64"/>
      <c r="W32" s="60"/>
      <c r="X32" s="60"/>
      <c r="Y32" s="60"/>
      <c r="Z32" s="60"/>
      <c r="AA32" s="60"/>
      <c r="AB32" s="60"/>
      <c r="AC32" s="60"/>
      <c r="AD32" s="60"/>
      <c r="AE32" s="60"/>
      <c r="AF32" s="60"/>
      <c r="AG32" s="62"/>
      <c r="AH32" s="62"/>
      <c r="AI32" s="60"/>
      <c r="AJ32" s="60"/>
      <c r="AK32" s="60"/>
      <c r="AL32" s="56"/>
      <c r="AM32" s="58"/>
      <c r="AN32" s="58"/>
      <c r="AO32" s="58"/>
      <c r="AP32" s="62"/>
      <c r="AQ32" s="62"/>
      <c r="AR32" s="62"/>
      <c r="AS32" s="62"/>
      <c r="AT32" s="62"/>
      <c r="AU32" s="62"/>
      <c r="AV32" s="60"/>
      <c r="AW32" s="60"/>
      <c r="AX32" s="60"/>
      <c r="AY32" s="60"/>
      <c r="AZ32" s="60"/>
      <c r="BA32" s="60"/>
      <c r="BB32" s="60"/>
      <c r="BC32" s="60"/>
      <c r="BD32" s="60"/>
      <c r="BE32" s="60"/>
      <c r="BF32" s="56"/>
      <c r="BG32" s="58"/>
      <c r="BH32" s="58"/>
      <c r="BI32" s="58"/>
      <c r="BJ32" s="62"/>
      <c r="BK32" s="60"/>
      <c r="BL32" s="60"/>
      <c r="BM32" s="60"/>
      <c r="BN32" s="60"/>
      <c r="BO32" s="60"/>
      <c r="BP32" s="60"/>
      <c r="BQ32" s="60"/>
      <c r="BR32" s="60"/>
      <c r="BS32" s="60"/>
      <c r="BT32" s="60"/>
      <c r="BU32" s="60"/>
      <c r="BV32" s="60"/>
      <c r="BW32" s="60"/>
      <c r="BX32" s="60"/>
      <c r="BY32" s="60"/>
      <c r="BZ32" s="56"/>
      <c r="CA32" s="58"/>
      <c r="CB32" s="58"/>
      <c r="CC32" s="64"/>
      <c r="CD32" s="64"/>
      <c r="CE32" s="60"/>
      <c r="CF32" s="60"/>
      <c r="CG32" s="60"/>
      <c r="CH32" s="60"/>
      <c r="CI32" s="60"/>
      <c r="CJ32" s="60"/>
      <c r="CK32" s="60"/>
      <c r="CL32" s="60"/>
      <c r="CM32" s="60"/>
      <c r="CN32" s="60"/>
      <c r="CO32" s="60"/>
      <c r="CP32" s="60"/>
      <c r="CQ32" s="60"/>
      <c r="CR32" s="60"/>
      <c r="CS32" s="60"/>
      <c r="CT32" s="56"/>
      <c r="CU32" s="64"/>
      <c r="CV32" s="64"/>
      <c r="CW32" s="64"/>
      <c r="CX32" s="64"/>
      <c r="CY32" s="60"/>
      <c r="CZ32" s="60"/>
      <c r="DA32" s="60"/>
      <c r="DB32" s="60"/>
      <c r="DC32" s="60"/>
      <c r="DD32" s="60"/>
      <c r="DE32" s="60"/>
      <c r="DF32" s="60"/>
      <c r="DG32" s="60"/>
      <c r="DH32" s="60"/>
      <c r="DI32" s="60"/>
      <c r="DJ32" s="60"/>
      <c r="DK32" s="60"/>
      <c r="DL32" s="60"/>
      <c r="DM32" s="60"/>
      <c r="DN32" s="56"/>
      <c r="DO32" s="58"/>
      <c r="DP32" s="58"/>
      <c r="DQ32" s="64"/>
      <c r="DR32" s="60"/>
      <c r="DS32" s="60"/>
      <c r="DT32" s="60"/>
      <c r="DU32" s="60"/>
      <c r="DV32" s="60"/>
      <c r="DW32" s="60"/>
      <c r="DX32" s="60"/>
      <c r="DY32" s="60"/>
      <c r="DZ32" s="60"/>
      <c r="EA32" s="60"/>
      <c r="EB32" s="60"/>
      <c r="EC32" s="62"/>
      <c r="ED32" s="62"/>
      <c r="EE32" s="60"/>
      <c r="EF32" s="60"/>
      <c r="EG32" s="60"/>
      <c r="EH32" s="56"/>
      <c r="EI32" s="58"/>
      <c r="EJ32" s="58"/>
      <c r="EK32" s="64"/>
      <c r="EL32" s="60"/>
      <c r="EM32" s="60"/>
      <c r="EN32" s="60"/>
      <c r="EO32" s="60"/>
      <c r="EP32" s="60"/>
      <c r="EQ32" s="60"/>
      <c r="ER32" s="60"/>
      <c r="ES32" s="60"/>
      <c r="ET32" s="60"/>
      <c r="EU32" s="60"/>
      <c r="EV32" s="60"/>
      <c r="EW32" s="60"/>
      <c r="EX32" s="60"/>
      <c r="EY32" s="60"/>
      <c r="EZ32" s="60"/>
      <c r="FA32" s="60"/>
      <c r="FB32" s="56"/>
      <c r="FC32" s="64"/>
      <c r="FD32" s="64"/>
      <c r="FE32" s="64"/>
      <c r="FF32" s="60"/>
      <c r="FG32" s="60"/>
      <c r="FH32" s="60"/>
      <c r="FI32" s="60"/>
      <c r="FJ32" s="60"/>
      <c r="FK32" s="60"/>
      <c r="FL32" s="60"/>
      <c r="FM32" s="60"/>
      <c r="FN32" s="60"/>
      <c r="FO32" s="60"/>
      <c r="FP32" s="60"/>
      <c r="FQ32" s="60"/>
      <c r="FR32" s="60"/>
      <c r="FS32" s="60"/>
      <c r="FT32" s="60"/>
      <c r="FU32" s="60"/>
      <c r="FV32" s="56"/>
      <c r="FW32" s="64"/>
      <c r="FX32" s="64"/>
      <c r="FY32" s="64"/>
      <c r="FZ32" s="60"/>
      <c r="GA32" s="60"/>
      <c r="GB32" s="60"/>
      <c r="GC32" s="60"/>
      <c r="GD32" s="60"/>
      <c r="GE32" s="60"/>
      <c r="GF32" s="60"/>
      <c r="GG32" s="60"/>
      <c r="GH32" s="60"/>
      <c r="GI32" s="60"/>
      <c r="GJ32" s="60"/>
      <c r="GK32" s="60"/>
      <c r="GL32" s="60"/>
      <c r="GM32" s="60"/>
      <c r="GN32" s="60"/>
      <c r="GO32" s="60"/>
      <c r="GP32" s="56"/>
      <c r="GQ32" s="64"/>
      <c r="GR32" s="64"/>
      <c r="GS32" s="64"/>
      <c r="GT32" s="60"/>
      <c r="GU32" s="60"/>
      <c r="GV32" s="60"/>
      <c r="GW32" s="60"/>
      <c r="GX32" s="60"/>
      <c r="GY32" s="60"/>
      <c r="GZ32" s="62"/>
      <c r="HA32" s="62"/>
      <c r="HB32" s="62"/>
      <c r="HC32" s="62"/>
      <c r="HD32" s="62"/>
      <c r="HE32" s="62"/>
      <c r="HF32" s="62"/>
      <c r="HG32" s="62"/>
      <c r="HH32" s="62"/>
      <c r="HI32" s="62"/>
      <c r="HJ32" s="56"/>
      <c r="HK32" s="58"/>
      <c r="HL32" s="58"/>
      <c r="HM32" s="58"/>
      <c r="HN32" s="62"/>
      <c r="HO32" s="62"/>
      <c r="HP32" s="62"/>
      <c r="HQ32" s="62"/>
      <c r="HR32" s="62"/>
      <c r="HS32" s="62"/>
      <c r="HT32" s="62"/>
      <c r="HU32" s="62"/>
      <c r="HV32" s="62"/>
      <c r="HW32" s="62"/>
      <c r="HX32" s="62"/>
      <c r="HY32" s="62"/>
      <c r="HZ32" s="62"/>
      <c r="IA32" s="62"/>
      <c r="IB32" s="62"/>
      <c r="IC32" s="62"/>
      <c r="ID32" s="4"/>
      <c r="IF32" s="23"/>
      <c r="IG32" s="28"/>
      <c r="IH32" s="28" t="s">
        <v>94</v>
      </c>
      <c r="II32" s="29" t="str">
        <f t="shared" si="2"/>
        <v/>
      </c>
      <c r="IJ32" s="29" t="str">
        <f t="shared" si="6"/>
        <v>ColorNone</v>
      </c>
      <c r="IK32" s="9">
        <f t="shared" si="4"/>
        <v>30</v>
      </c>
      <c r="IL32" s="23"/>
    </row>
    <row r="33" spans="1:246" ht="14.25" thickBot="1" x14ac:dyDescent="0.2">
      <c r="A33" s="238"/>
      <c r="B33" s="6" t="s">
        <v>142</v>
      </c>
      <c r="C33" s="7" t="str">
        <f t="shared" si="5"/>
        <v/>
      </c>
      <c r="D33" s="154" t="s">
        <v>150</v>
      </c>
      <c r="E33" s="124"/>
      <c r="F33" s="93">
        <v>44907</v>
      </c>
      <c r="G33" s="94">
        <v>1</v>
      </c>
      <c r="H33" s="94">
        <v>60</v>
      </c>
      <c r="I33" s="95">
        <v>30</v>
      </c>
      <c r="J33" s="96"/>
      <c r="K33" s="146" t="s">
        <v>177</v>
      </c>
      <c r="L33" s="158"/>
      <c r="M33" s="159"/>
      <c r="N33" s="159"/>
      <c r="O33" s="160"/>
      <c r="P33" s="167"/>
      <c r="Q33" s="21"/>
      <c r="R33" s="56"/>
      <c r="S33" s="58"/>
      <c r="T33" s="58"/>
      <c r="U33" s="58"/>
      <c r="V33" s="64"/>
      <c r="W33" s="60"/>
      <c r="X33" s="60"/>
      <c r="Y33" s="60"/>
      <c r="Z33" s="60"/>
      <c r="AA33" s="60"/>
      <c r="AB33" s="60"/>
      <c r="AC33" s="60"/>
      <c r="AD33" s="60"/>
      <c r="AE33" s="60"/>
      <c r="AF33" s="60"/>
      <c r="AG33" s="62"/>
      <c r="AH33" s="62"/>
      <c r="AI33" s="60"/>
      <c r="AJ33" s="60"/>
      <c r="AK33" s="60"/>
      <c r="AL33" s="56"/>
      <c r="AM33" s="58"/>
      <c r="AN33" s="58"/>
      <c r="AO33" s="58"/>
      <c r="AP33" s="62"/>
      <c r="AQ33" s="62"/>
      <c r="AR33" s="62"/>
      <c r="AS33" s="62"/>
      <c r="AT33" s="62"/>
      <c r="AU33" s="62"/>
      <c r="AV33" s="60"/>
      <c r="AW33" s="60"/>
      <c r="AX33" s="60"/>
      <c r="AY33" s="60"/>
      <c r="AZ33" s="60"/>
      <c r="BA33" s="60"/>
      <c r="BB33" s="60"/>
      <c r="BC33" s="60"/>
      <c r="BD33" s="60"/>
      <c r="BE33" s="60"/>
      <c r="BF33" s="56"/>
      <c r="BG33" s="58"/>
      <c r="BH33" s="58"/>
      <c r="BI33" s="58"/>
      <c r="BJ33" s="62"/>
      <c r="BK33" s="60"/>
      <c r="BL33" s="60"/>
      <c r="BM33" s="60"/>
      <c r="BN33" s="60"/>
      <c r="BO33" s="60"/>
      <c r="BP33" s="60"/>
      <c r="BQ33" s="60"/>
      <c r="BR33" s="60"/>
      <c r="BS33" s="60"/>
      <c r="BT33" s="60"/>
      <c r="BU33" s="60"/>
      <c r="BV33" s="60"/>
      <c r="BW33" s="60"/>
      <c r="BX33" s="60"/>
      <c r="BY33" s="60"/>
      <c r="BZ33" s="56"/>
      <c r="CA33" s="58"/>
      <c r="CB33" s="58"/>
      <c r="CC33" s="64"/>
      <c r="CD33" s="64"/>
      <c r="CE33" s="60"/>
      <c r="CF33" s="60"/>
      <c r="CG33" s="60"/>
      <c r="CH33" s="60"/>
      <c r="CI33" s="60"/>
      <c r="CJ33" s="60"/>
      <c r="CK33" s="60"/>
      <c r="CL33" s="60"/>
      <c r="CM33" s="60"/>
      <c r="CN33" s="60"/>
      <c r="CO33" s="60"/>
      <c r="CP33" s="60"/>
      <c r="CQ33" s="60"/>
      <c r="CR33" s="60"/>
      <c r="CS33" s="60"/>
      <c r="CT33" s="56"/>
      <c r="CU33" s="64"/>
      <c r="CV33" s="64"/>
      <c r="CW33" s="64"/>
      <c r="CX33" s="64"/>
      <c r="CY33" s="60"/>
      <c r="CZ33" s="60"/>
      <c r="DA33" s="60"/>
      <c r="DB33" s="60"/>
      <c r="DC33" s="60"/>
      <c r="DD33" s="60"/>
      <c r="DE33" s="60"/>
      <c r="DF33" s="60"/>
      <c r="DG33" s="60"/>
      <c r="DH33" s="60"/>
      <c r="DI33" s="60"/>
      <c r="DJ33" s="60"/>
      <c r="DK33" s="60"/>
      <c r="DL33" s="60"/>
      <c r="DM33" s="60"/>
      <c r="DN33" s="56"/>
      <c r="DO33" s="58"/>
      <c r="DP33" s="58"/>
      <c r="DQ33" s="64"/>
      <c r="DR33" s="60"/>
      <c r="DS33" s="60"/>
      <c r="DT33" s="60"/>
      <c r="DU33" s="60"/>
      <c r="DV33" s="60"/>
      <c r="DW33" s="60"/>
      <c r="DX33" s="60"/>
      <c r="DY33" s="60"/>
      <c r="DZ33" s="60"/>
      <c r="EA33" s="60"/>
      <c r="EB33" s="60"/>
      <c r="EC33" s="62"/>
      <c r="ED33" s="62"/>
      <c r="EE33" s="60"/>
      <c r="EF33" s="60"/>
      <c r="EG33" s="60"/>
      <c r="EH33" s="56"/>
      <c r="EI33" s="58"/>
      <c r="EJ33" s="58"/>
      <c r="EK33" s="64"/>
      <c r="EL33" s="60"/>
      <c r="EM33" s="60"/>
      <c r="EN33" s="60"/>
      <c r="EO33" s="60"/>
      <c r="EP33" s="60"/>
      <c r="EQ33" s="60"/>
      <c r="ER33" s="60"/>
      <c r="ES33" s="60"/>
      <c r="ET33" s="60"/>
      <c r="EU33" s="60"/>
      <c r="EV33" s="60"/>
      <c r="EW33" s="60"/>
      <c r="EX33" s="60"/>
      <c r="EY33" s="60"/>
      <c r="EZ33" s="60"/>
      <c r="FA33" s="60"/>
      <c r="FB33" s="56"/>
      <c r="FC33" s="64"/>
      <c r="FD33" s="64"/>
      <c r="FE33" s="64"/>
      <c r="FF33" s="60"/>
      <c r="FG33" s="60"/>
      <c r="FH33" s="60"/>
      <c r="FI33" s="60"/>
      <c r="FJ33" s="60"/>
      <c r="FK33" s="60"/>
      <c r="FL33" s="60"/>
      <c r="FM33" s="60"/>
      <c r="FN33" s="60"/>
      <c r="FO33" s="60"/>
      <c r="FP33" s="60"/>
      <c r="FQ33" s="60"/>
      <c r="FR33" s="60"/>
      <c r="FS33" s="60"/>
      <c r="FT33" s="60"/>
      <c r="FU33" s="60"/>
      <c r="FV33" s="56"/>
      <c r="FW33" s="64"/>
      <c r="FX33" s="64"/>
      <c r="FY33" s="64"/>
      <c r="FZ33" s="60"/>
      <c r="GA33" s="60"/>
      <c r="GB33" s="60"/>
      <c r="GC33" s="60"/>
      <c r="GD33" s="60"/>
      <c r="GE33" s="60"/>
      <c r="GF33" s="60"/>
      <c r="GG33" s="60"/>
      <c r="GH33" s="60"/>
      <c r="GI33" s="60"/>
      <c r="GJ33" s="60"/>
      <c r="GK33" s="60"/>
      <c r="GL33" s="60"/>
      <c r="GM33" s="60"/>
      <c r="GN33" s="60"/>
      <c r="GO33" s="60"/>
      <c r="GP33" s="56"/>
      <c r="GQ33" s="64"/>
      <c r="GR33" s="64"/>
      <c r="GS33" s="64"/>
      <c r="GT33" s="60"/>
      <c r="GU33" s="60"/>
      <c r="GV33" s="60"/>
      <c r="GW33" s="60"/>
      <c r="GX33" s="60"/>
      <c r="GY33" s="60"/>
      <c r="GZ33" s="62"/>
      <c r="HA33" s="62"/>
      <c r="HB33" s="62"/>
      <c r="HC33" s="62"/>
      <c r="HD33" s="62"/>
      <c r="HE33" s="62"/>
      <c r="HF33" s="62"/>
      <c r="HG33" s="62"/>
      <c r="HH33" s="62"/>
      <c r="HI33" s="62"/>
      <c r="HJ33" s="56"/>
      <c r="HK33" s="58"/>
      <c r="HL33" s="58"/>
      <c r="HM33" s="58"/>
      <c r="HN33" s="62"/>
      <c r="HO33" s="62"/>
      <c r="HP33" s="62"/>
      <c r="HQ33" s="62"/>
      <c r="HR33" s="62"/>
      <c r="HS33" s="62"/>
      <c r="HT33" s="62"/>
      <c r="HU33" s="62"/>
      <c r="HV33" s="62"/>
      <c r="HW33" s="62"/>
      <c r="HX33" s="62"/>
      <c r="HY33" s="62"/>
      <c r="HZ33" s="62"/>
      <c r="IA33" s="62"/>
      <c r="IB33" s="62"/>
      <c r="IC33" s="62"/>
      <c r="ID33" s="4"/>
      <c r="IF33" s="23"/>
      <c r="IG33" s="28"/>
      <c r="IH33" s="28" t="s">
        <v>94</v>
      </c>
      <c r="II33" s="29" t="str">
        <f t="shared" si="2"/>
        <v/>
      </c>
      <c r="IJ33" s="29" t="str">
        <f t="shared" si="6"/>
        <v>ColorNone</v>
      </c>
      <c r="IK33" s="9">
        <f t="shared" si="4"/>
        <v>30</v>
      </c>
      <c r="IL33" s="23"/>
    </row>
    <row r="34" spans="1:246" ht="14.25" thickBot="1" x14ac:dyDescent="0.2">
      <c r="A34" s="238"/>
      <c r="B34" s="6" t="s">
        <v>147</v>
      </c>
      <c r="C34" s="7" t="str">
        <f t="shared" si="5"/>
        <v>*</v>
      </c>
      <c r="D34" s="172" t="s">
        <v>210</v>
      </c>
      <c r="E34" s="124"/>
      <c r="F34" s="93">
        <v>44879</v>
      </c>
      <c r="G34" s="95">
        <v>3</v>
      </c>
      <c r="H34" s="278">
        <v>0</v>
      </c>
      <c r="I34" s="95">
        <v>30</v>
      </c>
      <c r="J34" s="96"/>
      <c r="K34" s="146" t="s">
        <v>105</v>
      </c>
      <c r="L34" s="158">
        <v>44851</v>
      </c>
      <c r="M34" s="159">
        <v>2</v>
      </c>
      <c r="N34" s="159">
        <v>0</v>
      </c>
      <c r="O34" s="160">
        <v>30</v>
      </c>
      <c r="P34" s="167">
        <v>100</v>
      </c>
      <c r="Q34" s="21"/>
      <c r="R34" s="56"/>
      <c r="S34" s="58"/>
      <c r="T34" s="58"/>
      <c r="U34" s="58"/>
      <c r="V34" s="64"/>
      <c r="W34" s="60"/>
      <c r="X34" s="60"/>
      <c r="Y34" s="60"/>
      <c r="Z34" s="60"/>
      <c r="AA34" s="60"/>
      <c r="AB34" s="60"/>
      <c r="AC34" s="60"/>
      <c r="AD34" s="60"/>
      <c r="AE34" s="60"/>
      <c r="AF34" s="60"/>
      <c r="AG34" s="62"/>
      <c r="AH34" s="62"/>
      <c r="AI34" s="60"/>
      <c r="AJ34" s="60"/>
      <c r="AK34" s="60"/>
      <c r="AL34" s="56"/>
      <c r="AM34" s="58"/>
      <c r="AN34" s="58"/>
      <c r="AO34" s="58"/>
      <c r="AP34" s="62"/>
      <c r="AQ34" s="62"/>
      <c r="AR34" s="62"/>
      <c r="AS34" s="62"/>
      <c r="AT34" s="62"/>
      <c r="AU34" s="62"/>
      <c r="AV34" s="60"/>
      <c r="AW34" s="60"/>
      <c r="AX34" s="60"/>
      <c r="AY34" s="60"/>
      <c r="AZ34" s="60"/>
      <c r="BA34" s="60"/>
      <c r="BB34" s="60"/>
      <c r="BC34" s="60"/>
      <c r="BD34" s="60"/>
      <c r="BE34" s="60"/>
      <c r="BF34" s="56"/>
      <c r="BG34" s="58"/>
      <c r="BH34" s="58"/>
      <c r="BI34" s="58"/>
      <c r="BJ34" s="62"/>
      <c r="BK34" s="60"/>
      <c r="BL34" s="60"/>
      <c r="BM34" s="60"/>
      <c r="BN34" s="60"/>
      <c r="BO34" s="60"/>
      <c r="BP34" s="60"/>
      <c r="BQ34" s="60"/>
      <c r="BR34" s="60"/>
      <c r="BS34" s="60"/>
      <c r="BT34" s="60"/>
      <c r="BU34" s="60"/>
      <c r="BV34" s="60"/>
      <c r="BW34" s="60"/>
      <c r="BX34" s="60"/>
      <c r="BY34" s="60"/>
      <c r="BZ34" s="56"/>
      <c r="CA34" s="58"/>
      <c r="CB34" s="58"/>
      <c r="CC34" s="64"/>
      <c r="CD34" s="64"/>
      <c r="CE34" s="60"/>
      <c r="CF34" s="60"/>
      <c r="CG34" s="60"/>
      <c r="CH34" s="60"/>
      <c r="CI34" s="60"/>
      <c r="CJ34" s="60"/>
      <c r="CK34" s="60"/>
      <c r="CL34" s="60"/>
      <c r="CM34" s="60"/>
      <c r="CN34" s="60"/>
      <c r="CO34" s="60"/>
      <c r="CP34" s="60"/>
      <c r="CQ34" s="60"/>
      <c r="CR34" s="60"/>
      <c r="CS34" s="60"/>
      <c r="CT34" s="56"/>
      <c r="CU34" s="64"/>
      <c r="CV34" s="64"/>
      <c r="CW34" s="64"/>
      <c r="CX34" s="64"/>
      <c r="CY34" s="60"/>
      <c r="CZ34" s="60"/>
      <c r="DA34" s="60"/>
      <c r="DB34" s="60"/>
      <c r="DC34" s="60"/>
      <c r="DD34" s="60"/>
      <c r="DE34" s="60"/>
      <c r="DF34" s="60"/>
      <c r="DG34" s="60"/>
      <c r="DH34" s="60"/>
      <c r="DI34" s="60"/>
      <c r="DJ34" s="60"/>
      <c r="DK34" s="60"/>
      <c r="DL34" s="60"/>
      <c r="DM34" s="60"/>
      <c r="DN34" s="56"/>
      <c r="DO34" s="58"/>
      <c r="DP34" s="58"/>
      <c r="DQ34" s="64"/>
      <c r="DR34" s="60"/>
      <c r="DS34" s="60"/>
      <c r="DT34" s="60"/>
      <c r="DU34" s="60"/>
      <c r="DV34" s="60"/>
      <c r="DW34" s="60"/>
      <c r="DX34" s="60"/>
      <c r="DY34" s="60"/>
      <c r="DZ34" s="60"/>
      <c r="EA34" s="60"/>
      <c r="EB34" s="60"/>
      <c r="EC34" s="62"/>
      <c r="ED34" s="62"/>
      <c r="EE34" s="60"/>
      <c r="EF34" s="60"/>
      <c r="EG34" s="60"/>
      <c r="EH34" s="56"/>
      <c r="EI34" s="58"/>
      <c r="EJ34" s="58"/>
      <c r="EK34" s="64"/>
      <c r="EL34" s="60"/>
      <c r="EM34" s="60"/>
      <c r="EN34" s="60"/>
      <c r="EO34" s="60"/>
      <c r="EP34" s="60"/>
      <c r="EQ34" s="60"/>
      <c r="ER34" s="60"/>
      <c r="ES34" s="60"/>
      <c r="ET34" s="60"/>
      <c r="EU34" s="60"/>
      <c r="EV34" s="60"/>
      <c r="EW34" s="60"/>
      <c r="EX34" s="60"/>
      <c r="EY34" s="60"/>
      <c r="EZ34" s="60"/>
      <c r="FA34" s="60"/>
      <c r="FB34" s="56"/>
      <c r="FC34" s="64"/>
      <c r="FD34" s="64"/>
      <c r="FE34" s="64"/>
      <c r="FF34" s="60"/>
      <c r="FG34" s="60"/>
      <c r="FH34" s="60"/>
      <c r="FI34" s="60"/>
      <c r="FJ34" s="60"/>
      <c r="FK34" s="60"/>
      <c r="FL34" s="60"/>
      <c r="FM34" s="60"/>
      <c r="FN34" s="60"/>
      <c r="FO34" s="60"/>
      <c r="FP34" s="60"/>
      <c r="FQ34" s="60"/>
      <c r="FR34" s="60"/>
      <c r="FS34" s="60"/>
      <c r="FT34" s="60"/>
      <c r="FU34" s="60"/>
      <c r="FV34" s="56"/>
      <c r="FW34" s="64"/>
      <c r="FX34" s="64"/>
      <c r="FY34" s="64"/>
      <c r="FZ34" s="60"/>
      <c r="GA34" s="60"/>
      <c r="GB34" s="60"/>
      <c r="GC34" s="60"/>
      <c r="GD34" s="60"/>
      <c r="GE34" s="60"/>
      <c r="GF34" s="60"/>
      <c r="GG34" s="60"/>
      <c r="GH34" s="60"/>
      <c r="GI34" s="60"/>
      <c r="GJ34" s="60"/>
      <c r="GK34" s="60"/>
      <c r="GL34" s="60"/>
      <c r="GM34" s="60"/>
      <c r="GN34" s="60"/>
      <c r="GO34" s="60"/>
      <c r="GP34" s="56"/>
      <c r="GQ34" s="64"/>
      <c r="GR34" s="64"/>
      <c r="GS34" s="64"/>
      <c r="GT34" s="60"/>
      <c r="GU34" s="60"/>
      <c r="GV34" s="60"/>
      <c r="GW34" s="60"/>
      <c r="GX34" s="60"/>
      <c r="GY34" s="60"/>
      <c r="GZ34" s="62"/>
      <c r="HA34" s="62"/>
      <c r="HB34" s="62"/>
      <c r="HC34" s="62"/>
      <c r="HD34" s="62"/>
      <c r="HE34" s="62"/>
      <c r="HF34" s="62"/>
      <c r="HG34" s="62"/>
      <c r="HH34" s="62"/>
      <c r="HI34" s="62"/>
      <c r="HJ34" s="56"/>
      <c r="HK34" s="58"/>
      <c r="HL34" s="58"/>
      <c r="HM34" s="58"/>
      <c r="HN34" s="62"/>
      <c r="HO34" s="62"/>
      <c r="HP34" s="62"/>
      <c r="HQ34" s="62"/>
      <c r="HR34" s="62"/>
      <c r="HS34" s="62"/>
      <c r="HT34" s="62"/>
      <c r="HU34" s="62"/>
      <c r="HV34" s="62"/>
      <c r="HW34" s="62"/>
      <c r="HX34" s="62"/>
      <c r="HY34" s="62"/>
      <c r="HZ34" s="62"/>
      <c r="IA34" s="62"/>
      <c r="IB34" s="62"/>
      <c r="IC34" s="62"/>
      <c r="ID34" s="4"/>
      <c r="IF34" s="23"/>
      <c r="IG34" s="28"/>
      <c r="IH34" s="28" t="s">
        <v>94</v>
      </c>
      <c r="II34" s="29" t="str">
        <f t="shared" si="2"/>
        <v/>
      </c>
      <c r="IJ34" s="29" t="str">
        <f>IF(II34&lt;&gt;"","ColorTeam"&amp;II34, "ColorNone")</f>
        <v>ColorNone</v>
      </c>
      <c r="IK34" s="9">
        <f>IF(O34="",G34,O34)</f>
        <v>30</v>
      </c>
      <c r="IL34" s="23"/>
    </row>
    <row r="35" spans="1:246" ht="14.25" thickBot="1" x14ac:dyDescent="0.2">
      <c r="A35" s="238"/>
      <c r="B35" s="6" t="s">
        <v>152</v>
      </c>
      <c r="C35" s="7" t="str">
        <f t="shared" si="5"/>
        <v>*</v>
      </c>
      <c r="D35" s="154" t="s">
        <v>211</v>
      </c>
      <c r="E35" s="124"/>
      <c r="F35" s="93">
        <v>44893</v>
      </c>
      <c r="G35" s="94">
        <v>3</v>
      </c>
      <c r="H35" s="94">
        <v>0</v>
      </c>
      <c r="I35" s="95">
        <v>30</v>
      </c>
      <c r="J35" s="96"/>
      <c r="K35" s="146" t="s">
        <v>105</v>
      </c>
      <c r="L35" s="158">
        <v>44893</v>
      </c>
      <c r="M35" s="159">
        <v>2</v>
      </c>
      <c r="N35" s="159">
        <v>30</v>
      </c>
      <c r="O35" s="160">
        <v>40</v>
      </c>
      <c r="P35" s="167">
        <v>100</v>
      </c>
      <c r="Q35" s="21"/>
      <c r="R35" s="56"/>
      <c r="S35" s="58"/>
      <c r="T35" s="58"/>
      <c r="U35" s="58"/>
      <c r="V35" s="64"/>
      <c r="W35" s="60"/>
      <c r="X35" s="60"/>
      <c r="Y35" s="60"/>
      <c r="Z35" s="60"/>
      <c r="AA35" s="60"/>
      <c r="AB35" s="60"/>
      <c r="AC35" s="60"/>
      <c r="AD35" s="60"/>
      <c r="AE35" s="60"/>
      <c r="AF35" s="60"/>
      <c r="AG35" s="62"/>
      <c r="AH35" s="62"/>
      <c r="AI35" s="60"/>
      <c r="AJ35" s="60"/>
      <c r="AK35" s="60"/>
      <c r="AL35" s="56"/>
      <c r="AM35" s="58"/>
      <c r="AN35" s="58"/>
      <c r="AO35" s="58"/>
      <c r="AP35" s="62"/>
      <c r="AQ35" s="62"/>
      <c r="AR35" s="62"/>
      <c r="AS35" s="62"/>
      <c r="AT35" s="62"/>
      <c r="AU35" s="62"/>
      <c r="AV35" s="60"/>
      <c r="AW35" s="60"/>
      <c r="AX35" s="60"/>
      <c r="AY35" s="60"/>
      <c r="AZ35" s="60"/>
      <c r="BA35" s="60"/>
      <c r="BB35" s="60"/>
      <c r="BC35" s="60"/>
      <c r="BD35" s="60"/>
      <c r="BE35" s="60"/>
      <c r="BF35" s="56"/>
      <c r="BG35" s="58"/>
      <c r="BH35" s="58"/>
      <c r="BI35" s="58"/>
      <c r="BJ35" s="62"/>
      <c r="BK35" s="60"/>
      <c r="BL35" s="60"/>
      <c r="BM35" s="60"/>
      <c r="BN35" s="60"/>
      <c r="BO35" s="60"/>
      <c r="BP35" s="60"/>
      <c r="BQ35" s="60"/>
      <c r="BR35" s="60"/>
      <c r="BS35" s="60"/>
      <c r="BT35" s="60"/>
      <c r="BU35" s="60"/>
      <c r="BV35" s="60"/>
      <c r="BW35" s="60"/>
      <c r="BX35" s="60"/>
      <c r="BY35" s="60"/>
      <c r="BZ35" s="56"/>
      <c r="CA35" s="58"/>
      <c r="CB35" s="58"/>
      <c r="CC35" s="64"/>
      <c r="CD35" s="64"/>
      <c r="CE35" s="60"/>
      <c r="CF35" s="60"/>
      <c r="CG35" s="60"/>
      <c r="CH35" s="60"/>
      <c r="CI35" s="60"/>
      <c r="CJ35" s="60"/>
      <c r="CK35" s="60"/>
      <c r="CL35" s="60"/>
      <c r="CM35" s="60"/>
      <c r="CN35" s="60"/>
      <c r="CO35" s="60"/>
      <c r="CP35" s="60"/>
      <c r="CQ35" s="60"/>
      <c r="CR35" s="60"/>
      <c r="CS35" s="60"/>
      <c r="CT35" s="56"/>
      <c r="CU35" s="64"/>
      <c r="CV35" s="64"/>
      <c r="CW35" s="64"/>
      <c r="CX35" s="64"/>
      <c r="CY35" s="60"/>
      <c r="CZ35" s="60"/>
      <c r="DA35" s="60"/>
      <c r="DB35" s="60"/>
      <c r="DC35" s="60"/>
      <c r="DD35" s="60"/>
      <c r="DE35" s="60"/>
      <c r="DF35" s="60"/>
      <c r="DG35" s="60"/>
      <c r="DH35" s="60"/>
      <c r="DI35" s="60"/>
      <c r="DJ35" s="60"/>
      <c r="DK35" s="60"/>
      <c r="DL35" s="60"/>
      <c r="DM35" s="60"/>
      <c r="DN35" s="56"/>
      <c r="DO35" s="58"/>
      <c r="DP35" s="58"/>
      <c r="DQ35" s="64"/>
      <c r="DR35" s="60"/>
      <c r="DS35" s="60"/>
      <c r="DT35" s="60"/>
      <c r="DU35" s="60"/>
      <c r="DV35" s="60"/>
      <c r="DW35" s="60"/>
      <c r="DX35" s="60"/>
      <c r="DY35" s="60"/>
      <c r="DZ35" s="60"/>
      <c r="EA35" s="60"/>
      <c r="EB35" s="60"/>
      <c r="EC35" s="62"/>
      <c r="ED35" s="62"/>
      <c r="EE35" s="60"/>
      <c r="EF35" s="60"/>
      <c r="EG35" s="60"/>
      <c r="EH35" s="56"/>
      <c r="EI35" s="58"/>
      <c r="EJ35" s="58"/>
      <c r="EK35" s="64"/>
      <c r="EL35" s="60"/>
      <c r="EM35" s="60"/>
      <c r="EN35" s="60"/>
      <c r="EO35" s="60"/>
      <c r="EP35" s="60"/>
      <c r="EQ35" s="60"/>
      <c r="ER35" s="60"/>
      <c r="ES35" s="60"/>
      <c r="ET35" s="60"/>
      <c r="EU35" s="60"/>
      <c r="EV35" s="60"/>
      <c r="EW35" s="60"/>
      <c r="EX35" s="60"/>
      <c r="EY35" s="60"/>
      <c r="EZ35" s="60"/>
      <c r="FA35" s="60"/>
      <c r="FB35" s="56"/>
      <c r="FC35" s="64"/>
      <c r="FD35" s="64"/>
      <c r="FE35" s="64"/>
      <c r="FF35" s="60"/>
      <c r="FG35" s="60"/>
      <c r="FH35" s="60"/>
      <c r="FI35" s="60"/>
      <c r="FJ35" s="60"/>
      <c r="FK35" s="60"/>
      <c r="FL35" s="60"/>
      <c r="FM35" s="60"/>
      <c r="FN35" s="60"/>
      <c r="FO35" s="60"/>
      <c r="FP35" s="60"/>
      <c r="FQ35" s="60"/>
      <c r="FR35" s="60"/>
      <c r="FS35" s="60"/>
      <c r="FT35" s="60"/>
      <c r="FU35" s="60"/>
      <c r="FV35" s="56"/>
      <c r="FW35" s="64"/>
      <c r="FX35" s="64"/>
      <c r="FY35" s="64"/>
      <c r="FZ35" s="60"/>
      <c r="GA35" s="60"/>
      <c r="GB35" s="60"/>
      <c r="GC35" s="60"/>
      <c r="GD35" s="60"/>
      <c r="GE35" s="60"/>
      <c r="GF35" s="60"/>
      <c r="GG35" s="60"/>
      <c r="GH35" s="60"/>
      <c r="GI35" s="60"/>
      <c r="GJ35" s="60"/>
      <c r="GK35" s="60"/>
      <c r="GL35" s="60"/>
      <c r="GM35" s="60"/>
      <c r="GN35" s="60"/>
      <c r="GO35" s="60"/>
      <c r="GP35" s="56"/>
      <c r="GQ35" s="64"/>
      <c r="GR35" s="64"/>
      <c r="GS35" s="64"/>
      <c r="GT35" s="60"/>
      <c r="GU35" s="60"/>
      <c r="GV35" s="60"/>
      <c r="GW35" s="60"/>
      <c r="GX35" s="60"/>
      <c r="GY35" s="60"/>
      <c r="GZ35" s="62"/>
      <c r="HA35" s="62"/>
      <c r="HB35" s="62"/>
      <c r="HC35" s="62"/>
      <c r="HD35" s="62"/>
      <c r="HE35" s="62"/>
      <c r="HF35" s="62"/>
      <c r="HG35" s="62"/>
      <c r="HH35" s="62"/>
      <c r="HI35" s="62"/>
      <c r="HJ35" s="56"/>
      <c r="HK35" s="58"/>
      <c r="HL35" s="58"/>
      <c r="HM35" s="58"/>
      <c r="HN35" s="62"/>
      <c r="HO35" s="62"/>
      <c r="HP35" s="62"/>
      <c r="HQ35" s="62"/>
      <c r="HR35" s="62"/>
      <c r="HS35" s="62"/>
      <c r="HT35" s="62"/>
      <c r="HU35" s="62"/>
      <c r="HV35" s="62"/>
      <c r="HW35" s="62"/>
      <c r="HX35" s="62"/>
      <c r="HY35" s="62"/>
      <c r="HZ35" s="62"/>
      <c r="IA35" s="62"/>
      <c r="IB35" s="62"/>
      <c r="IC35" s="62"/>
      <c r="ID35" s="4"/>
      <c r="IF35" s="23"/>
      <c r="IG35" s="28"/>
      <c r="IH35" s="28" t="s">
        <v>94</v>
      </c>
      <c r="II35" s="29" t="str">
        <f t="shared" si="2"/>
        <v/>
      </c>
      <c r="IJ35" s="29" t="str">
        <f>IF(II35&lt;&gt;"","ColorTeam"&amp;II35, "ColorNone")</f>
        <v>ColorNone</v>
      </c>
      <c r="IK35" s="9">
        <f t="shared" si="4"/>
        <v>40</v>
      </c>
      <c r="IL35" s="23"/>
    </row>
    <row r="36" spans="1:246" ht="14.25" thickBot="1" x14ac:dyDescent="0.2">
      <c r="A36" s="238"/>
      <c r="B36" s="6" t="s">
        <v>178</v>
      </c>
      <c r="C36" s="7" t="str">
        <f t="shared" si="5"/>
        <v/>
      </c>
      <c r="D36" s="154"/>
      <c r="E36" s="124"/>
      <c r="F36" s="93"/>
      <c r="G36" s="94"/>
      <c r="H36" s="94"/>
      <c r="I36" s="95"/>
      <c r="J36" s="96"/>
      <c r="K36" s="146" t="s">
        <v>105</v>
      </c>
      <c r="L36" s="158"/>
      <c r="M36" s="159"/>
      <c r="N36" s="159"/>
      <c r="O36" s="160"/>
      <c r="P36" s="167"/>
      <c r="Q36" s="21"/>
      <c r="R36" s="56"/>
      <c r="S36" s="58"/>
      <c r="T36" s="58"/>
      <c r="U36" s="58"/>
      <c r="V36" s="64"/>
      <c r="W36" s="60"/>
      <c r="X36" s="60"/>
      <c r="Y36" s="60"/>
      <c r="Z36" s="60"/>
      <c r="AA36" s="60"/>
      <c r="AB36" s="60"/>
      <c r="AC36" s="60"/>
      <c r="AD36" s="60"/>
      <c r="AE36" s="60"/>
      <c r="AF36" s="60"/>
      <c r="AG36" s="62"/>
      <c r="AH36" s="62"/>
      <c r="AI36" s="60"/>
      <c r="AJ36" s="60"/>
      <c r="AK36" s="60"/>
      <c r="AL36" s="56"/>
      <c r="AM36" s="58"/>
      <c r="AN36" s="58"/>
      <c r="AO36" s="58"/>
      <c r="AP36" s="62"/>
      <c r="AQ36" s="62"/>
      <c r="AR36" s="62"/>
      <c r="AS36" s="62"/>
      <c r="AT36" s="62"/>
      <c r="AU36" s="62"/>
      <c r="AV36" s="60"/>
      <c r="AW36" s="60"/>
      <c r="AX36" s="60"/>
      <c r="AY36" s="60"/>
      <c r="AZ36" s="60"/>
      <c r="BA36" s="60"/>
      <c r="BB36" s="60"/>
      <c r="BC36" s="60"/>
      <c r="BD36" s="60"/>
      <c r="BE36" s="60"/>
      <c r="BF36" s="56"/>
      <c r="BG36" s="58"/>
      <c r="BH36" s="58"/>
      <c r="BI36" s="58"/>
      <c r="BJ36" s="62"/>
      <c r="BK36" s="60"/>
      <c r="BL36" s="60"/>
      <c r="BM36" s="60"/>
      <c r="BN36" s="60"/>
      <c r="BO36" s="60"/>
      <c r="BP36" s="60"/>
      <c r="BQ36" s="60"/>
      <c r="BR36" s="60"/>
      <c r="BS36" s="60"/>
      <c r="BT36" s="60"/>
      <c r="BU36" s="60"/>
      <c r="BV36" s="60"/>
      <c r="BW36" s="60"/>
      <c r="BX36" s="60"/>
      <c r="BY36" s="60"/>
      <c r="BZ36" s="56"/>
      <c r="CA36" s="58"/>
      <c r="CB36" s="58"/>
      <c r="CC36" s="64"/>
      <c r="CD36" s="64"/>
      <c r="CE36" s="60"/>
      <c r="CF36" s="60"/>
      <c r="CG36" s="60"/>
      <c r="CH36" s="60"/>
      <c r="CI36" s="60"/>
      <c r="CJ36" s="60"/>
      <c r="CK36" s="60"/>
      <c r="CL36" s="60"/>
      <c r="CM36" s="60"/>
      <c r="CN36" s="60"/>
      <c r="CO36" s="60"/>
      <c r="CP36" s="60"/>
      <c r="CQ36" s="60"/>
      <c r="CR36" s="60"/>
      <c r="CS36" s="60"/>
      <c r="CT36" s="56"/>
      <c r="CU36" s="64"/>
      <c r="CV36" s="64"/>
      <c r="CW36" s="64"/>
      <c r="CX36" s="64"/>
      <c r="CY36" s="60"/>
      <c r="CZ36" s="60"/>
      <c r="DA36" s="60"/>
      <c r="DB36" s="60"/>
      <c r="DC36" s="60"/>
      <c r="DD36" s="60"/>
      <c r="DE36" s="60"/>
      <c r="DF36" s="60"/>
      <c r="DG36" s="60"/>
      <c r="DH36" s="60"/>
      <c r="DI36" s="60"/>
      <c r="DJ36" s="60"/>
      <c r="DK36" s="60"/>
      <c r="DL36" s="60"/>
      <c r="DM36" s="60"/>
      <c r="DN36" s="56"/>
      <c r="DO36" s="58"/>
      <c r="DP36" s="58"/>
      <c r="DQ36" s="64"/>
      <c r="DR36" s="60"/>
      <c r="DS36" s="60"/>
      <c r="DT36" s="60"/>
      <c r="DU36" s="60"/>
      <c r="DV36" s="60"/>
      <c r="DW36" s="60"/>
      <c r="DX36" s="60"/>
      <c r="DY36" s="60"/>
      <c r="DZ36" s="60"/>
      <c r="EA36" s="60"/>
      <c r="EB36" s="60"/>
      <c r="EC36" s="62"/>
      <c r="ED36" s="62"/>
      <c r="EE36" s="60"/>
      <c r="EF36" s="60"/>
      <c r="EG36" s="60"/>
      <c r="EH36" s="56"/>
      <c r="EI36" s="58"/>
      <c r="EJ36" s="58"/>
      <c r="EK36" s="64"/>
      <c r="EL36" s="60"/>
      <c r="EM36" s="60"/>
      <c r="EN36" s="60"/>
      <c r="EO36" s="60"/>
      <c r="EP36" s="60"/>
      <c r="EQ36" s="60"/>
      <c r="ER36" s="60"/>
      <c r="ES36" s="60"/>
      <c r="ET36" s="60"/>
      <c r="EU36" s="60"/>
      <c r="EV36" s="60"/>
      <c r="EW36" s="60"/>
      <c r="EX36" s="60"/>
      <c r="EY36" s="60"/>
      <c r="EZ36" s="60"/>
      <c r="FA36" s="60"/>
      <c r="FB36" s="56"/>
      <c r="FC36" s="64"/>
      <c r="FD36" s="64"/>
      <c r="FE36" s="64"/>
      <c r="FF36" s="60"/>
      <c r="FG36" s="60"/>
      <c r="FH36" s="60"/>
      <c r="FI36" s="60"/>
      <c r="FJ36" s="60"/>
      <c r="FK36" s="60"/>
      <c r="FL36" s="60"/>
      <c r="FM36" s="60"/>
      <c r="FN36" s="60"/>
      <c r="FO36" s="60"/>
      <c r="FP36" s="60"/>
      <c r="FQ36" s="60"/>
      <c r="FR36" s="60"/>
      <c r="FS36" s="60"/>
      <c r="FT36" s="60"/>
      <c r="FU36" s="60"/>
      <c r="FV36" s="56"/>
      <c r="FW36" s="64"/>
      <c r="FX36" s="64"/>
      <c r="FY36" s="64"/>
      <c r="FZ36" s="60"/>
      <c r="GA36" s="60"/>
      <c r="GB36" s="60"/>
      <c r="GC36" s="60"/>
      <c r="GD36" s="60"/>
      <c r="GE36" s="60"/>
      <c r="GF36" s="60"/>
      <c r="GG36" s="60"/>
      <c r="GH36" s="60"/>
      <c r="GI36" s="60"/>
      <c r="GJ36" s="60"/>
      <c r="GK36" s="60"/>
      <c r="GL36" s="60"/>
      <c r="GM36" s="60"/>
      <c r="GN36" s="60"/>
      <c r="GO36" s="60"/>
      <c r="GP36" s="56"/>
      <c r="GQ36" s="64"/>
      <c r="GR36" s="64"/>
      <c r="GS36" s="64"/>
      <c r="GT36" s="60"/>
      <c r="GU36" s="60"/>
      <c r="GV36" s="60"/>
      <c r="GW36" s="60"/>
      <c r="GX36" s="60"/>
      <c r="GY36" s="60"/>
      <c r="GZ36" s="62"/>
      <c r="HA36" s="62"/>
      <c r="HB36" s="62"/>
      <c r="HC36" s="62"/>
      <c r="HD36" s="62"/>
      <c r="HE36" s="62"/>
      <c r="HF36" s="62"/>
      <c r="HG36" s="62"/>
      <c r="HH36" s="62"/>
      <c r="HI36" s="62"/>
      <c r="HJ36" s="56"/>
      <c r="HK36" s="58"/>
      <c r="HL36" s="58"/>
      <c r="HM36" s="58"/>
      <c r="HN36" s="62"/>
      <c r="HO36" s="62"/>
      <c r="HP36" s="62"/>
      <c r="HQ36" s="62"/>
      <c r="HR36" s="62"/>
      <c r="HS36" s="62"/>
      <c r="HT36" s="62"/>
      <c r="HU36" s="62"/>
      <c r="HV36" s="62"/>
      <c r="HW36" s="62"/>
      <c r="HX36" s="62"/>
      <c r="HY36" s="62"/>
      <c r="HZ36" s="62"/>
      <c r="IA36" s="62"/>
      <c r="IB36" s="62"/>
      <c r="IC36" s="62"/>
      <c r="ID36" s="4"/>
      <c r="IF36" s="23"/>
      <c r="IG36" s="28"/>
      <c r="IH36" s="28" t="s">
        <v>94</v>
      </c>
      <c r="II36" s="29" t="str">
        <f t="shared" ref="II36" si="7">IF(E36&lt;&gt;"",VLOOKUP(E36,$IM$21:$IN$23,2,FALSE),"")</f>
        <v/>
      </c>
      <c r="IJ36" s="29" t="str">
        <f>IF(II36&lt;&gt;"","ColorTeam"&amp;II36, "ColorNone")</f>
        <v>ColorNone</v>
      </c>
      <c r="IK36" s="9">
        <f t="shared" ref="IK36" si="8">IF(O36="",I36,O36)</f>
        <v>0</v>
      </c>
      <c r="IL36" s="23"/>
    </row>
    <row r="37" spans="1:246" ht="14.25" thickBot="1" x14ac:dyDescent="0.2">
      <c r="A37" s="239"/>
      <c r="B37" s="6" t="s">
        <v>179</v>
      </c>
      <c r="C37" s="7" t="str">
        <f t="shared" si="5"/>
        <v/>
      </c>
      <c r="D37" s="154"/>
      <c r="E37" s="124"/>
      <c r="F37" s="93"/>
      <c r="G37" s="94"/>
      <c r="H37" s="94"/>
      <c r="I37" s="95"/>
      <c r="J37" s="96"/>
      <c r="K37" s="146"/>
      <c r="L37" s="158"/>
      <c r="M37" s="159"/>
      <c r="N37" s="159"/>
      <c r="O37" s="160"/>
      <c r="P37" s="167"/>
      <c r="Q37" s="21"/>
      <c r="R37" s="56"/>
      <c r="S37" s="58"/>
      <c r="T37" s="58"/>
      <c r="U37" s="58"/>
      <c r="V37" s="64"/>
      <c r="W37" s="60"/>
      <c r="X37" s="60"/>
      <c r="Y37" s="60"/>
      <c r="Z37" s="60"/>
      <c r="AA37" s="60"/>
      <c r="AB37" s="60"/>
      <c r="AC37" s="60"/>
      <c r="AD37" s="60"/>
      <c r="AE37" s="60"/>
      <c r="AF37" s="60"/>
      <c r="AG37" s="62"/>
      <c r="AH37" s="62"/>
      <c r="AI37" s="60"/>
      <c r="AJ37" s="60"/>
      <c r="AK37" s="60"/>
      <c r="AL37" s="56"/>
      <c r="AM37" s="58"/>
      <c r="AN37" s="58"/>
      <c r="AO37" s="58"/>
      <c r="AP37" s="62"/>
      <c r="AQ37" s="62"/>
      <c r="AR37" s="62"/>
      <c r="AS37" s="62"/>
      <c r="AT37" s="62"/>
      <c r="AU37" s="62"/>
      <c r="AV37" s="60"/>
      <c r="AW37" s="60"/>
      <c r="AX37" s="60"/>
      <c r="AY37" s="60"/>
      <c r="AZ37" s="60"/>
      <c r="BA37" s="60"/>
      <c r="BB37" s="60"/>
      <c r="BC37" s="60"/>
      <c r="BD37" s="60"/>
      <c r="BE37" s="60"/>
      <c r="BF37" s="56"/>
      <c r="BG37" s="58"/>
      <c r="BH37" s="58"/>
      <c r="BI37" s="58"/>
      <c r="BJ37" s="62"/>
      <c r="BK37" s="60"/>
      <c r="BL37" s="60"/>
      <c r="BM37" s="60"/>
      <c r="BN37" s="60"/>
      <c r="BO37" s="60"/>
      <c r="BP37" s="60"/>
      <c r="BQ37" s="60"/>
      <c r="BR37" s="60"/>
      <c r="BS37" s="60"/>
      <c r="BT37" s="60"/>
      <c r="BU37" s="60"/>
      <c r="BV37" s="60"/>
      <c r="BW37" s="60"/>
      <c r="BX37" s="60"/>
      <c r="BY37" s="60"/>
      <c r="BZ37" s="56"/>
      <c r="CA37" s="58"/>
      <c r="CB37" s="58"/>
      <c r="CC37" s="64"/>
      <c r="CD37" s="64"/>
      <c r="CE37" s="60"/>
      <c r="CF37" s="60"/>
      <c r="CG37" s="60"/>
      <c r="CH37" s="60"/>
      <c r="CI37" s="60"/>
      <c r="CJ37" s="60"/>
      <c r="CK37" s="60"/>
      <c r="CL37" s="60"/>
      <c r="CM37" s="60"/>
      <c r="CN37" s="60"/>
      <c r="CO37" s="60"/>
      <c r="CP37" s="60"/>
      <c r="CQ37" s="60"/>
      <c r="CR37" s="60"/>
      <c r="CS37" s="60"/>
      <c r="CT37" s="56"/>
      <c r="CU37" s="64"/>
      <c r="CV37" s="64"/>
      <c r="CW37" s="64"/>
      <c r="CX37" s="64"/>
      <c r="CY37" s="60"/>
      <c r="CZ37" s="60"/>
      <c r="DA37" s="60"/>
      <c r="DB37" s="60"/>
      <c r="DC37" s="60"/>
      <c r="DD37" s="60"/>
      <c r="DE37" s="60"/>
      <c r="DF37" s="60"/>
      <c r="DG37" s="60"/>
      <c r="DH37" s="60"/>
      <c r="DI37" s="60"/>
      <c r="DJ37" s="60"/>
      <c r="DK37" s="60"/>
      <c r="DL37" s="60"/>
      <c r="DM37" s="60"/>
      <c r="DN37" s="56"/>
      <c r="DO37" s="58"/>
      <c r="DP37" s="58"/>
      <c r="DQ37" s="64"/>
      <c r="DR37" s="60"/>
      <c r="DS37" s="60"/>
      <c r="DT37" s="60"/>
      <c r="DU37" s="60"/>
      <c r="DV37" s="60"/>
      <c r="DW37" s="60"/>
      <c r="DX37" s="60"/>
      <c r="DY37" s="60"/>
      <c r="DZ37" s="60"/>
      <c r="EA37" s="60"/>
      <c r="EB37" s="60"/>
      <c r="EC37" s="62"/>
      <c r="ED37" s="62"/>
      <c r="EE37" s="60"/>
      <c r="EF37" s="60"/>
      <c r="EG37" s="60"/>
      <c r="EH37" s="56"/>
      <c r="EI37" s="58"/>
      <c r="EJ37" s="58"/>
      <c r="EK37" s="64"/>
      <c r="EL37" s="60"/>
      <c r="EM37" s="60"/>
      <c r="EN37" s="60"/>
      <c r="EO37" s="60"/>
      <c r="EP37" s="60"/>
      <c r="EQ37" s="60"/>
      <c r="ER37" s="60"/>
      <c r="ES37" s="60"/>
      <c r="ET37" s="60"/>
      <c r="EU37" s="60"/>
      <c r="EV37" s="60"/>
      <c r="EW37" s="60"/>
      <c r="EX37" s="60"/>
      <c r="EY37" s="60"/>
      <c r="EZ37" s="60"/>
      <c r="FA37" s="60"/>
      <c r="FB37" s="56"/>
      <c r="FC37" s="64"/>
      <c r="FD37" s="64"/>
      <c r="FE37" s="64"/>
      <c r="FF37" s="60"/>
      <c r="FG37" s="60"/>
      <c r="FH37" s="60"/>
      <c r="FI37" s="60"/>
      <c r="FJ37" s="60"/>
      <c r="FK37" s="60"/>
      <c r="FL37" s="60"/>
      <c r="FM37" s="60"/>
      <c r="FN37" s="60"/>
      <c r="FO37" s="60"/>
      <c r="FP37" s="60"/>
      <c r="FQ37" s="60"/>
      <c r="FR37" s="60"/>
      <c r="FS37" s="60"/>
      <c r="FT37" s="60"/>
      <c r="FU37" s="60"/>
      <c r="FV37" s="56"/>
      <c r="FW37" s="64"/>
      <c r="FX37" s="64"/>
      <c r="FY37" s="64"/>
      <c r="FZ37" s="60"/>
      <c r="GA37" s="60"/>
      <c r="GB37" s="60"/>
      <c r="GC37" s="60"/>
      <c r="GD37" s="60"/>
      <c r="GE37" s="60"/>
      <c r="GF37" s="60"/>
      <c r="GG37" s="60"/>
      <c r="GH37" s="60"/>
      <c r="GI37" s="60"/>
      <c r="GJ37" s="60"/>
      <c r="GK37" s="60"/>
      <c r="GL37" s="60"/>
      <c r="GM37" s="60"/>
      <c r="GN37" s="60"/>
      <c r="GO37" s="60"/>
      <c r="GP37" s="56"/>
      <c r="GQ37" s="64"/>
      <c r="GR37" s="64"/>
      <c r="GS37" s="64"/>
      <c r="GT37" s="60"/>
      <c r="GU37" s="60"/>
      <c r="GV37" s="60"/>
      <c r="GW37" s="60"/>
      <c r="GX37" s="60"/>
      <c r="GY37" s="60"/>
      <c r="GZ37" s="62"/>
      <c r="HA37" s="62"/>
      <c r="HB37" s="62"/>
      <c r="HC37" s="62"/>
      <c r="HD37" s="62"/>
      <c r="HE37" s="62"/>
      <c r="HF37" s="62"/>
      <c r="HG37" s="62"/>
      <c r="HH37" s="62"/>
      <c r="HI37" s="62"/>
      <c r="HJ37" s="56"/>
      <c r="HK37" s="58"/>
      <c r="HL37" s="58"/>
      <c r="HM37" s="58"/>
      <c r="HN37" s="62"/>
      <c r="HO37" s="62"/>
      <c r="HP37" s="62"/>
      <c r="HQ37" s="62"/>
      <c r="HR37" s="62"/>
      <c r="HS37" s="62"/>
      <c r="HT37" s="62"/>
      <c r="HU37" s="62"/>
      <c r="HV37" s="62"/>
      <c r="HW37" s="62"/>
      <c r="HX37" s="62"/>
      <c r="HY37" s="62"/>
      <c r="HZ37" s="62"/>
      <c r="IA37" s="62"/>
      <c r="IB37" s="62"/>
      <c r="IC37" s="62"/>
      <c r="ID37" s="4"/>
      <c r="IF37" s="23"/>
      <c r="IG37" s="28"/>
      <c r="IH37" s="28" t="s">
        <v>94</v>
      </c>
      <c r="II37" s="29" t="str">
        <f t="shared" ref="II37" si="9">IF(E37&lt;&gt;"",VLOOKUP(E37,$IM$21:$IN$23,2,FALSE),"")</f>
        <v/>
      </c>
      <c r="IJ37" s="29" t="str">
        <f>IF(II37&lt;&gt;"","ColorTeam"&amp;II37, "ColorNone")</f>
        <v>ColorNone</v>
      </c>
      <c r="IK37" s="9">
        <f t="shared" ref="IK37" si="10">IF(O37="",I37,O37)</f>
        <v>0</v>
      </c>
      <c r="IL37" s="23"/>
    </row>
    <row r="38" spans="1:246" ht="2.25" customHeight="1" thickBot="1" x14ac:dyDescent="0.2">
      <c r="A38" s="73"/>
      <c r="B38" s="72" t="s">
        <v>112</v>
      </c>
      <c r="C38" s="71"/>
      <c r="D38" s="92"/>
      <c r="E38" s="92"/>
      <c r="F38" s="99"/>
      <c r="G38" s="100"/>
      <c r="H38" s="101"/>
      <c r="I38" s="102"/>
      <c r="J38" s="100"/>
      <c r="K38" s="148" t="s">
        <v>105</v>
      </c>
      <c r="L38" s="99"/>
      <c r="M38" s="100"/>
      <c r="N38" s="100"/>
      <c r="O38" s="102"/>
      <c r="P38" s="168"/>
      <c r="Q38" s="22"/>
      <c r="R38" s="56"/>
      <c r="S38" s="58"/>
      <c r="T38" s="58"/>
      <c r="U38" s="58"/>
      <c r="V38" s="64"/>
      <c r="W38" s="60"/>
      <c r="X38" s="60"/>
      <c r="Y38" s="60"/>
      <c r="Z38" s="60"/>
      <c r="AA38" s="60"/>
      <c r="AB38" s="60"/>
      <c r="AC38" s="60"/>
      <c r="AD38" s="60"/>
      <c r="AE38" s="60"/>
      <c r="AF38" s="60"/>
      <c r="AG38" s="62"/>
      <c r="AH38" s="62"/>
      <c r="AI38" s="60"/>
      <c r="AJ38" s="60"/>
      <c r="AK38" s="60"/>
      <c r="AL38" s="56"/>
      <c r="AM38" s="58"/>
      <c r="AN38" s="58"/>
      <c r="AO38" s="58"/>
      <c r="AP38" s="62"/>
      <c r="AQ38" s="62"/>
      <c r="AR38" s="62"/>
      <c r="AS38" s="62"/>
      <c r="AT38" s="62"/>
      <c r="AU38" s="62"/>
      <c r="AV38" s="60"/>
      <c r="AW38" s="60"/>
      <c r="AX38" s="60"/>
      <c r="AY38" s="60"/>
      <c r="AZ38" s="60"/>
      <c r="BA38" s="60"/>
      <c r="BB38" s="60"/>
      <c r="BC38" s="60"/>
      <c r="BD38" s="60"/>
      <c r="BE38" s="60"/>
      <c r="BF38" s="56"/>
      <c r="BG38" s="58"/>
      <c r="BH38" s="58"/>
      <c r="BI38" s="58"/>
      <c r="BJ38" s="62"/>
      <c r="BK38" s="60"/>
      <c r="BL38" s="60"/>
      <c r="BM38" s="60"/>
      <c r="BN38" s="60"/>
      <c r="BO38" s="60"/>
      <c r="BP38" s="60"/>
      <c r="BQ38" s="60"/>
      <c r="BR38" s="60"/>
      <c r="BS38" s="60"/>
      <c r="BT38" s="60"/>
      <c r="BU38" s="60"/>
      <c r="BV38" s="60"/>
      <c r="BW38" s="60"/>
      <c r="BX38" s="60"/>
      <c r="BY38" s="60"/>
      <c r="BZ38" s="56"/>
      <c r="CA38" s="58"/>
      <c r="CB38" s="58"/>
      <c r="CC38" s="64"/>
      <c r="CD38" s="64"/>
      <c r="CE38" s="60"/>
      <c r="CF38" s="60"/>
      <c r="CG38" s="60"/>
      <c r="CH38" s="60"/>
      <c r="CI38" s="60"/>
      <c r="CJ38" s="60"/>
      <c r="CK38" s="60"/>
      <c r="CL38" s="60"/>
      <c r="CM38" s="60"/>
      <c r="CN38" s="60"/>
      <c r="CO38" s="60"/>
      <c r="CP38" s="60"/>
      <c r="CQ38" s="60"/>
      <c r="CR38" s="60"/>
      <c r="CS38" s="60"/>
      <c r="CT38" s="56"/>
      <c r="CU38" s="64"/>
      <c r="CV38" s="64"/>
      <c r="CW38" s="64"/>
      <c r="CX38" s="64"/>
      <c r="CY38" s="60"/>
      <c r="CZ38" s="60"/>
      <c r="DA38" s="60"/>
      <c r="DB38" s="60"/>
      <c r="DC38" s="60"/>
      <c r="DD38" s="60"/>
      <c r="DE38" s="60"/>
      <c r="DF38" s="60"/>
      <c r="DG38" s="60"/>
      <c r="DH38" s="60"/>
      <c r="DI38" s="60"/>
      <c r="DJ38" s="60"/>
      <c r="DK38" s="60"/>
      <c r="DL38" s="60"/>
      <c r="DM38" s="60"/>
      <c r="DN38" s="56"/>
      <c r="DO38" s="58"/>
      <c r="DP38" s="58"/>
      <c r="DQ38" s="64"/>
      <c r="DR38" s="60"/>
      <c r="DS38" s="60"/>
      <c r="DT38" s="60"/>
      <c r="DU38" s="60"/>
      <c r="DV38" s="60"/>
      <c r="DW38" s="60"/>
      <c r="DX38" s="60"/>
      <c r="DY38" s="60"/>
      <c r="DZ38" s="60"/>
      <c r="EA38" s="60"/>
      <c r="EB38" s="60"/>
      <c r="EC38" s="62"/>
      <c r="ED38" s="62"/>
      <c r="EE38" s="60"/>
      <c r="EF38" s="60"/>
      <c r="EG38" s="60"/>
      <c r="EH38" s="56"/>
      <c r="EI38" s="58"/>
      <c r="EJ38" s="58"/>
      <c r="EK38" s="64"/>
      <c r="EL38" s="60"/>
      <c r="EM38" s="60"/>
      <c r="EN38" s="60"/>
      <c r="EO38" s="60"/>
      <c r="EP38" s="60"/>
      <c r="EQ38" s="60"/>
      <c r="ER38" s="60"/>
      <c r="ES38" s="60"/>
      <c r="ET38" s="60"/>
      <c r="EU38" s="60"/>
      <c r="EV38" s="60"/>
      <c r="EW38" s="60"/>
      <c r="EX38" s="60"/>
      <c r="EY38" s="60"/>
      <c r="EZ38" s="60"/>
      <c r="FA38" s="60"/>
      <c r="FB38" s="56"/>
      <c r="FC38" s="64"/>
      <c r="FD38" s="64"/>
      <c r="FE38" s="64"/>
      <c r="FF38" s="60"/>
      <c r="FG38" s="60"/>
      <c r="FH38" s="60"/>
      <c r="FI38" s="60"/>
      <c r="FJ38" s="60"/>
      <c r="FK38" s="60"/>
      <c r="FL38" s="60"/>
      <c r="FM38" s="60"/>
      <c r="FN38" s="60"/>
      <c r="FO38" s="60"/>
      <c r="FP38" s="60"/>
      <c r="FQ38" s="60"/>
      <c r="FR38" s="60"/>
      <c r="FS38" s="60"/>
      <c r="FT38" s="60"/>
      <c r="FU38" s="60"/>
      <c r="FV38" s="56"/>
      <c r="FW38" s="64"/>
      <c r="FX38" s="64"/>
      <c r="FY38" s="64"/>
      <c r="FZ38" s="60"/>
      <c r="GA38" s="60"/>
      <c r="GB38" s="60"/>
      <c r="GC38" s="60"/>
      <c r="GD38" s="60"/>
      <c r="GE38" s="60"/>
      <c r="GF38" s="60"/>
      <c r="GG38" s="60"/>
      <c r="GH38" s="60"/>
      <c r="GI38" s="60"/>
      <c r="GJ38" s="60"/>
      <c r="GK38" s="60"/>
      <c r="GL38" s="60"/>
      <c r="GM38" s="60"/>
      <c r="GN38" s="60"/>
      <c r="GO38" s="60"/>
      <c r="GP38" s="56"/>
      <c r="GQ38" s="64"/>
      <c r="GR38" s="64"/>
      <c r="GS38" s="64"/>
      <c r="GT38" s="60"/>
      <c r="GU38" s="60"/>
      <c r="GV38" s="60"/>
      <c r="GW38" s="60"/>
      <c r="GX38" s="60"/>
      <c r="GY38" s="60"/>
      <c r="GZ38" s="62"/>
      <c r="HA38" s="62"/>
      <c r="HB38" s="62"/>
      <c r="HC38" s="62"/>
      <c r="HD38" s="62"/>
      <c r="HE38" s="62"/>
      <c r="HF38" s="62"/>
      <c r="HG38" s="62"/>
      <c r="HH38" s="62"/>
      <c r="HI38" s="62"/>
      <c r="HJ38" s="56"/>
      <c r="HK38" s="58"/>
      <c r="HL38" s="58"/>
      <c r="HM38" s="58"/>
      <c r="HN38" s="62"/>
      <c r="HO38" s="62"/>
      <c r="HP38" s="62"/>
      <c r="HQ38" s="62"/>
      <c r="HR38" s="62"/>
      <c r="HS38" s="62"/>
      <c r="HT38" s="62"/>
      <c r="HU38" s="62"/>
      <c r="HV38" s="62"/>
      <c r="HW38" s="62"/>
      <c r="HX38" s="62"/>
      <c r="HY38" s="62"/>
      <c r="HZ38" s="62"/>
      <c r="IA38" s="62"/>
      <c r="IB38" s="62"/>
      <c r="IC38" s="62"/>
      <c r="ID38" s="4"/>
      <c r="IF38" s="23"/>
      <c r="IG38" s="28"/>
      <c r="IH38" s="28"/>
      <c r="II38" s="29"/>
      <c r="IJ38" s="121"/>
      <c r="IK38" s="70"/>
      <c r="IL38" s="23"/>
    </row>
    <row r="39" spans="1:246" x14ac:dyDescent="0.15">
      <c r="A39" s="226" t="s">
        <v>114</v>
      </c>
      <c r="B39" s="6" t="s">
        <v>6</v>
      </c>
      <c r="C39" s="7" t="str">
        <f>IF(P39=100,"*","")</f>
        <v>*</v>
      </c>
      <c r="D39" s="91" t="s">
        <v>192</v>
      </c>
      <c r="E39" s="103" t="s">
        <v>182</v>
      </c>
      <c r="F39" s="93">
        <v>44837</v>
      </c>
      <c r="G39" s="94">
        <v>1</v>
      </c>
      <c r="H39" s="94">
        <v>50</v>
      </c>
      <c r="I39" s="95">
        <v>30</v>
      </c>
      <c r="J39" s="96"/>
      <c r="K39" s="146" t="s">
        <v>193</v>
      </c>
      <c r="L39" s="158">
        <v>44837</v>
      </c>
      <c r="M39" s="159">
        <v>1</v>
      </c>
      <c r="N39" s="159">
        <v>50</v>
      </c>
      <c r="O39" s="160">
        <v>40</v>
      </c>
      <c r="P39" s="167">
        <v>100</v>
      </c>
      <c r="Q39" s="21"/>
      <c r="R39" s="56"/>
      <c r="S39" s="58"/>
      <c r="T39" s="58"/>
      <c r="U39" s="58"/>
      <c r="V39" s="64"/>
      <c r="W39" s="60"/>
      <c r="X39" s="60"/>
      <c r="Y39" s="60"/>
      <c r="Z39" s="60"/>
      <c r="AA39" s="60"/>
      <c r="AB39" s="60"/>
      <c r="AC39" s="60"/>
      <c r="AD39" s="60"/>
      <c r="AE39" s="60"/>
      <c r="AF39" s="60"/>
      <c r="AG39" s="62"/>
      <c r="AH39" s="62"/>
      <c r="AI39" s="60"/>
      <c r="AJ39" s="60"/>
      <c r="AK39" s="60"/>
      <c r="AL39" s="56"/>
      <c r="AM39" s="58"/>
      <c r="AN39" s="58"/>
      <c r="AO39" s="58"/>
      <c r="AP39" s="62"/>
      <c r="AQ39" s="62"/>
      <c r="AR39" s="62"/>
      <c r="AS39" s="62"/>
      <c r="AT39" s="62"/>
      <c r="AU39" s="62"/>
      <c r="AV39" s="60"/>
      <c r="AW39" s="60"/>
      <c r="AX39" s="60"/>
      <c r="AY39" s="60"/>
      <c r="AZ39" s="60"/>
      <c r="BA39" s="60"/>
      <c r="BB39" s="60"/>
      <c r="BC39" s="60"/>
      <c r="BD39" s="60"/>
      <c r="BE39" s="60"/>
      <c r="BF39" s="56"/>
      <c r="BG39" s="58"/>
      <c r="BH39" s="58"/>
      <c r="BI39" s="58"/>
      <c r="BJ39" s="62"/>
      <c r="BK39" s="60"/>
      <c r="BL39" s="60"/>
      <c r="BM39" s="60"/>
      <c r="BN39" s="60"/>
      <c r="BO39" s="60"/>
      <c r="BP39" s="60"/>
      <c r="BQ39" s="60"/>
      <c r="BR39" s="60"/>
      <c r="BS39" s="60"/>
      <c r="BT39" s="60"/>
      <c r="BU39" s="60"/>
      <c r="BV39" s="60"/>
      <c r="BW39" s="60"/>
      <c r="BX39" s="60"/>
      <c r="BY39" s="60"/>
      <c r="BZ39" s="56"/>
      <c r="CA39" s="58"/>
      <c r="CB39" s="58"/>
      <c r="CC39" s="64"/>
      <c r="CD39" s="64"/>
      <c r="CE39" s="60"/>
      <c r="CF39" s="60"/>
      <c r="CG39" s="60"/>
      <c r="CH39" s="60"/>
      <c r="CI39" s="60"/>
      <c r="CJ39" s="60"/>
      <c r="CK39" s="60"/>
      <c r="CL39" s="60"/>
      <c r="CM39" s="60"/>
      <c r="CN39" s="60"/>
      <c r="CO39" s="60"/>
      <c r="CP39" s="60"/>
      <c r="CQ39" s="60"/>
      <c r="CR39" s="60"/>
      <c r="CS39" s="60"/>
      <c r="CT39" s="56"/>
      <c r="CU39" s="64"/>
      <c r="CV39" s="64"/>
      <c r="CW39" s="64"/>
      <c r="CX39" s="64"/>
      <c r="CY39" s="60"/>
      <c r="CZ39" s="60"/>
      <c r="DA39" s="60"/>
      <c r="DB39" s="60"/>
      <c r="DC39" s="60"/>
      <c r="DD39" s="60"/>
      <c r="DE39" s="60"/>
      <c r="DF39" s="60"/>
      <c r="DG39" s="60"/>
      <c r="DH39" s="60"/>
      <c r="DI39" s="60"/>
      <c r="DJ39" s="60"/>
      <c r="DK39" s="60"/>
      <c r="DL39" s="60"/>
      <c r="DM39" s="60"/>
      <c r="DN39" s="56"/>
      <c r="DO39" s="58"/>
      <c r="DP39" s="58"/>
      <c r="DQ39" s="64"/>
      <c r="DR39" s="60"/>
      <c r="DS39" s="60"/>
      <c r="DT39" s="60"/>
      <c r="DU39" s="60"/>
      <c r="DV39" s="60"/>
      <c r="DW39" s="60"/>
      <c r="DX39" s="60"/>
      <c r="DY39" s="60"/>
      <c r="DZ39" s="60"/>
      <c r="EA39" s="60"/>
      <c r="EB39" s="60"/>
      <c r="EC39" s="62"/>
      <c r="ED39" s="62"/>
      <c r="EE39" s="60"/>
      <c r="EF39" s="60"/>
      <c r="EG39" s="60"/>
      <c r="EH39" s="56"/>
      <c r="EI39" s="58"/>
      <c r="EJ39" s="58"/>
      <c r="EK39" s="64"/>
      <c r="EL39" s="60"/>
      <c r="EM39" s="60"/>
      <c r="EN39" s="60"/>
      <c r="EO39" s="60"/>
      <c r="EP39" s="60"/>
      <c r="EQ39" s="60"/>
      <c r="ER39" s="60"/>
      <c r="ES39" s="60"/>
      <c r="ET39" s="60"/>
      <c r="EU39" s="60"/>
      <c r="EV39" s="60"/>
      <c r="EW39" s="60"/>
      <c r="EX39" s="60"/>
      <c r="EY39" s="60"/>
      <c r="EZ39" s="60"/>
      <c r="FA39" s="60"/>
      <c r="FB39" s="56"/>
      <c r="FC39" s="64"/>
      <c r="FD39" s="64"/>
      <c r="FE39" s="64"/>
      <c r="FF39" s="60"/>
      <c r="FG39" s="60"/>
      <c r="FH39" s="60"/>
      <c r="FI39" s="60"/>
      <c r="FJ39" s="60"/>
      <c r="FK39" s="60"/>
      <c r="FL39" s="60"/>
      <c r="FM39" s="60"/>
      <c r="FN39" s="60"/>
      <c r="FO39" s="60"/>
      <c r="FP39" s="60"/>
      <c r="FQ39" s="60"/>
      <c r="FR39" s="60"/>
      <c r="FS39" s="60"/>
      <c r="FT39" s="60"/>
      <c r="FU39" s="60"/>
      <c r="FV39" s="56"/>
      <c r="FW39" s="64"/>
      <c r="FX39" s="64"/>
      <c r="FY39" s="64"/>
      <c r="FZ39" s="60"/>
      <c r="GA39" s="60"/>
      <c r="GB39" s="60"/>
      <c r="GC39" s="60"/>
      <c r="GD39" s="60"/>
      <c r="GE39" s="60"/>
      <c r="GF39" s="60"/>
      <c r="GG39" s="60"/>
      <c r="GH39" s="60"/>
      <c r="GI39" s="60"/>
      <c r="GJ39" s="60"/>
      <c r="GK39" s="60"/>
      <c r="GL39" s="60"/>
      <c r="GM39" s="60"/>
      <c r="GN39" s="60"/>
      <c r="GO39" s="60"/>
      <c r="GP39" s="56"/>
      <c r="GQ39" s="64"/>
      <c r="GR39" s="64"/>
      <c r="GS39" s="64"/>
      <c r="GT39" s="60"/>
      <c r="GU39" s="60"/>
      <c r="GV39" s="60"/>
      <c r="GW39" s="60"/>
      <c r="GX39" s="60"/>
      <c r="GY39" s="60"/>
      <c r="GZ39" s="62"/>
      <c r="HA39" s="62"/>
      <c r="HB39" s="62"/>
      <c r="HC39" s="62"/>
      <c r="HD39" s="62"/>
      <c r="HE39" s="62"/>
      <c r="HF39" s="62"/>
      <c r="HG39" s="62"/>
      <c r="HH39" s="62"/>
      <c r="HI39" s="62"/>
      <c r="HJ39" s="56"/>
      <c r="HK39" s="58"/>
      <c r="HL39" s="58"/>
      <c r="HM39" s="58"/>
      <c r="HN39" s="62"/>
      <c r="HO39" s="62"/>
      <c r="HP39" s="62"/>
      <c r="HQ39" s="62"/>
      <c r="HR39" s="62"/>
      <c r="HS39" s="62"/>
      <c r="HT39" s="62"/>
      <c r="HU39" s="62"/>
      <c r="HV39" s="62"/>
      <c r="HW39" s="62"/>
      <c r="HX39" s="62"/>
      <c r="HY39" s="62"/>
      <c r="HZ39" s="62"/>
      <c r="IA39" s="62"/>
      <c r="IB39" s="62"/>
      <c r="IC39" s="62"/>
      <c r="ID39" s="4"/>
      <c r="IF39" s="23"/>
      <c r="IG39" s="28"/>
      <c r="IH39" s="30" t="s">
        <v>95</v>
      </c>
      <c r="II39" s="29">
        <f t="shared" ref="II39:II48" si="11">IF(E39&lt;&gt;"",VLOOKUP(E39,$IM$12:$IN$20,2,FALSE),"")</f>
        <v>2</v>
      </c>
      <c r="IJ39" s="29" t="str">
        <f>IF(II39&lt;&gt;"","Color"&amp;II39, "ColorNone")</f>
        <v>Color2</v>
      </c>
      <c r="IK39" s="5">
        <f t="shared" ref="IK39:IK48" si="12">IF(O39="",I39,O39)</f>
        <v>40</v>
      </c>
      <c r="IL39" s="23"/>
    </row>
    <row r="40" spans="1:246" x14ac:dyDescent="0.15">
      <c r="A40" s="227"/>
      <c r="B40" s="6" t="s">
        <v>7</v>
      </c>
      <c r="C40" s="7" t="str">
        <f t="shared" si="5"/>
        <v>*</v>
      </c>
      <c r="D40" s="91" t="s">
        <v>194</v>
      </c>
      <c r="E40" s="103" t="s">
        <v>180</v>
      </c>
      <c r="F40" s="93">
        <v>44837</v>
      </c>
      <c r="G40" s="94">
        <v>1</v>
      </c>
      <c r="H40" s="94">
        <v>40</v>
      </c>
      <c r="I40" s="95">
        <v>290</v>
      </c>
      <c r="J40" s="96"/>
      <c r="K40" s="146" t="s">
        <v>160</v>
      </c>
      <c r="L40" s="158">
        <v>44837</v>
      </c>
      <c r="M40" s="159">
        <v>1</v>
      </c>
      <c r="N40" s="159">
        <v>40</v>
      </c>
      <c r="O40" s="160">
        <v>290</v>
      </c>
      <c r="P40" s="167">
        <v>100</v>
      </c>
      <c r="Q40" s="21"/>
      <c r="R40" s="56"/>
      <c r="S40" s="58"/>
      <c r="T40" s="58"/>
      <c r="U40" s="58"/>
      <c r="V40" s="64"/>
      <c r="W40" s="60"/>
      <c r="X40" s="60"/>
      <c r="Y40" s="60"/>
      <c r="Z40" s="60"/>
      <c r="AA40" s="60"/>
      <c r="AB40" s="60"/>
      <c r="AC40" s="60"/>
      <c r="AD40" s="60"/>
      <c r="AE40" s="60"/>
      <c r="AF40" s="60"/>
      <c r="AG40" s="62"/>
      <c r="AH40" s="62"/>
      <c r="AI40" s="60"/>
      <c r="AJ40" s="60"/>
      <c r="AK40" s="60"/>
      <c r="AL40" s="56"/>
      <c r="AM40" s="58"/>
      <c r="AN40" s="58"/>
      <c r="AO40" s="58"/>
      <c r="AP40" s="62"/>
      <c r="AQ40" s="62"/>
      <c r="AR40" s="62"/>
      <c r="AS40" s="62"/>
      <c r="AT40" s="62"/>
      <c r="AU40" s="62"/>
      <c r="AV40" s="60"/>
      <c r="AW40" s="60"/>
      <c r="AX40" s="60"/>
      <c r="AY40" s="60"/>
      <c r="AZ40" s="60"/>
      <c r="BA40" s="60"/>
      <c r="BB40" s="60"/>
      <c r="BC40" s="60"/>
      <c r="BD40" s="60"/>
      <c r="BE40" s="60"/>
      <c r="BF40" s="56"/>
      <c r="BG40" s="58"/>
      <c r="BH40" s="58"/>
      <c r="BI40" s="58"/>
      <c r="BJ40" s="62"/>
      <c r="BK40" s="60"/>
      <c r="BL40" s="60"/>
      <c r="BM40" s="60"/>
      <c r="BN40" s="60"/>
      <c r="BO40" s="60"/>
      <c r="BP40" s="60"/>
      <c r="BQ40" s="60"/>
      <c r="BR40" s="60"/>
      <c r="BS40" s="60"/>
      <c r="BT40" s="60"/>
      <c r="BU40" s="60"/>
      <c r="BV40" s="60"/>
      <c r="BW40" s="60"/>
      <c r="BX40" s="60"/>
      <c r="BY40" s="60"/>
      <c r="BZ40" s="56"/>
      <c r="CA40" s="58"/>
      <c r="CB40" s="58"/>
      <c r="CC40" s="64"/>
      <c r="CD40" s="64"/>
      <c r="CE40" s="60"/>
      <c r="CF40" s="60"/>
      <c r="CG40" s="60"/>
      <c r="CH40" s="60"/>
      <c r="CI40" s="60"/>
      <c r="CJ40" s="60"/>
      <c r="CK40" s="60"/>
      <c r="CL40" s="60"/>
      <c r="CM40" s="60"/>
      <c r="CN40" s="60"/>
      <c r="CO40" s="60"/>
      <c r="CP40" s="60"/>
      <c r="CQ40" s="60"/>
      <c r="CR40" s="60"/>
      <c r="CS40" s="60"/>
      <c r="CT40" s="56"/>
      <c r="CU40" s="64"/>
      <c r="CV40" s="64"/>
      <c r="CW40" s="64"/>
      <c r="CX40" s="64"/>
      <c r="CY40" s="60"/>
      <c r="CZ40" s="60"/>
      <c r="DA40" s="60"/>
      <c r="DB40" s="60"/>
      <c r="DC40" s="60"/>
      <c r="DD40" s="60"/>
      <c r="DE40" s="60"/>
      <c r="DF40" s="60"/>
      <c r="DG40" s="60"/>
      <c r="DH40" s="60"/>
      <c r="DI40" s="60"/>
      <c r="DJ40" s="60"/>
      <c r="DK40" s="60"/>
      <c r="DL40" s="60"/>
      <c r="DM40" s="60"/>
      <c r="DN40" s="56"/>
      <c r="DO40" s="58"/>
      <c r="DP40" s="58"/>
      <c r="DQ40" s="64"/>
      <c r="DR40" s="60"/>
      <c r="DS40" s="60"/>
      <c r="DT40" s="60"/>
      <c r="DU40" s="60"/>
      <c r="DV40" s="60"/>
      <c r="DW40" s="60"/>
      <c r="DX40" s="60"/>
      <c r="DY40" s="60"/>
      <c r="DZ40" s="60"/>
      <c r="EA40" s="60"/>
      <c r="EB40" s="60"/>
      <c r="EC40" s="62"/>
      <c r="ED40" s="62"/>
      <c r="EE40" s="60"/>
      <c r="EF40" s="60"/>
      <c r="EG40" s="60"/>
      <c r="EH40" s="56"/>
      <c r="EI40" s="58"/>
      <c r="EJ40" s="58"/>
      <c r="EK40" s="64"/>
      <c r="EL40" s="60"/>
      <c r="EM40" s="60"/>
      <c r="EN40" s="60"/>
      <c r="EO40" s="60"/>
      <c r="EP40" s="60"/>
      <c r="EQ40" s="60"/>
      <c r="ER40" s="60"/>
      <c r="ES40" s="60"/>
      <c r="ET40" s="60"/>
      <c r="EU40" s="60"/>
      <c r="EV40" s="60"/>
      <c r="EW40" s="60"/>
      <c r="EX40" s="60"/>
      <c r="EY40" s="60"/>
      <c r="EZ40" s="60"/>
      <c r="FA40" s="60"/>
      <c r="FB40" s="56"/>
      <c r="FC40" s="64"/>
      <c r="FD40" s="64"/>
      <c r="FE40" s="64"/>
      <c r="FF40" s="60"/>
      <c r="FG40" s="60"/>
      <c r="FH40" s="60"/>
      <c r="FI40" s="60"/>
      <c r="FJ40" s="60"/>
      <c r="FK40" s="60"/>
      <c r="FL40" s="60"/>
      <c r="FM40" s="60"/>
      <c r="FN40" s="60"/>
      <c r="FO40" s="60"/>
      <c r="FP40" s="60"/>
      <c r="FQ40" s="60"/>
      <c r="FR40" s="60"/>
      <c r="FS40" s="60"/>
      <c r="FT40" s="60"/>
      <c r="FU40" s="60"/>
      <c r="FV40" s="56"/>
      <c r="FW40" s="64"/>
      <c r="FX40" s="64"/>
      <c r="FY40" s="64"/>
      <c r="FZ40" s="60"/>
      <c r="GA40" s="60"/>
      <c r="GB40" s="60"/>
      <c r="GC40" s="60"/>
      <c r="GD40" s="60"/>
      <c r="GE40" s="60"/>
      <c r="GF40" s="60"/>
      <c r="GG40" s="60"/>
      <c r="GH40" s="60"/>
      <c r="GI40" s="60"/>
      <c r="GJ40" s="60"/>
      <c r="GK40" s="60"/>
      <c r="GL40" s="60"/>
      <c r="GM40" s="60"/>
      <c r="GN40" s="60"/>
      <c r="GO40" s="60"/>
      <c r="GP40" s="56"/>
      <c r="GQ40" s="64"/>
      <c r="GR40" s="64"/>
      <c r="GS40" s="64"/>
      <c r="GT40" s="60"/>
      <c r="GU40" s="60"/>
      <c r="GV40" s="60"/>
      <c r="GW40" s="60"/>
      <c r="GX40" s="60"/>
      <c r="GY40" s="60"/>
      <c r="GZ40" s="62"/>
      <c r="HA40" s="62"/>
      <c r="HB40" s="62"/>
      <c r="HC40" s="62"/>
      <c r="HD40" s="62"/>
      <c r="HE40" s="62"/>
      <c r="HF40" s="62"/>
      <c r="HG40" s="62"/>
      <c r="HH40" s="62"/>
      <c r="HI40" s="62"/>
      <c r="HJ40" s="56"/>
      <c r="HK40" s="58"/>
      <c r="HL40" s="58"/>
      <c r="HM40" s="58"/>
      <c r="HN40" s="62"/>
      <c r="HO40" s="62"/>
      <c r="HP40" s="62"/>
      <c r="HQ40" s="62"/>
      <c r="HR40" s="62"/>
      <c r="HS40" s="62"/>
      <c r="HT40" s="62"/>
      <c r="HU40" s="62"/>
      <c r="HV40" s="62"/>
      <c r="HW40" s="62"/>
      <c r="HX40" s="62"/>
      <c r="HY40" s="62"/>
      <c r="HZ40" s="62"/>
      <c r="IA40" s="62"/>
      <c r="IB40" s="62"/>
      <c r="IC40" s="62"/>
      <c r="ID40" s="4"/>
      <c r="IF40" s="23"/>
      <c r="IG40" s="28"/>
      <c r="IH40" s="30" t="s">
        <v>95</v>
      </c>
      <c r="II40" s="29">
        <f t="shared" si="11"/>
        <v>1</v>
      </c>
      <c r="IJ40" s="29" t="str">
        <f t="shared" ref="IJ40:IJ48" si="13">IF(II40&lt;&gt;"","Color"&amp;II40, "ColorNone")</f>
        <v>Color1</v>
      </c>
      <c r="IK40" s="8">
        <f t="shared" si="12"/>
        <v>290</v>
      </c>
      <c r="IL40" s="23"/>
    </row>
    <row r="41" spans="1:246" x14ac:dyDescent="0.15">
      <c r="A41" s="227"/>
      <c r="B41" s="6" t="s">
        <v>8</v>
      </c>
      <c r="C41" s="7" t="str">
        <f t="shared" si="5"/>
        <v>*</v>
      </c>
      <c r="D41" s="91" t="s">
        <v>194</v>
      </c>
      <c r="E41" s="103" t="s">
        <v>182</v>
      </c>
      <c r="F41" s="93">
        <v>44837</v>
      </c>
      <c r="G41" s="94">
        <v>1</v>
      </c>
      <c r="H41" s="94">
        <v>40</v>
      </c>
      <c r="I41" s="95">
        <v>290</v>
      </c>
      <c r="J41" s="96"/>
      <c r="K41" s="146" t="s">
        <v>160</v>
      </c>
      <c r="L41" s="158">
        <v>44837</v>
      </c>
      <c r="M41" s="159">
        <v>1</v>
      </c>
      <c r="N41" s="159">
        <v>40</v>
      </c>
      <c r="O41" s="160">
        <v>290</v>
      </c>
      <c r="P41" s="167">
        <v>100</v>
      </c>
      <c r="Q41" s="21"/>
      <c r="R41" s="56"/>
      <c r="S41" s="58"/>
      <c r="T41" s="58"/>
      <c r="U41" s="58"/>
      <c r="V41" s="64"/>
      <c r="W41" s="60"/>
      <c r="X41" s="60"/>
      <c r="Y41" s="60"/>
      <c r="Z41" s="60"/>
      <c r="AA41" s="60"/>
      <c r="AB41" s="60"/>
      <c r="AC41" s="60"/>
      <c r="AD41" s="60"/>
      <c r="AE41" s="60"/>
      <c r="AF41" s="60"/>
      <c r="AG41" s="62"/>
      <c r="AH41" s="62"/>
      <c r="AI41" s="60"/>
      <c r="AJ41" s="60"/>
      <c r="AK41" s="60"/>
      <c r="AL41" s="56"/>
      <c r="AM41" s="58"/>
      <c r="AN41" s="58"/>
      <c r="AO41" s="58"/>
      <c r="AP41" s="62"/>
      <c r="AQ41" s="62"/>
      <c r="AR41" s="62"/>
      <c r="AS41" s="62"/>
      <c r="AT41" s="62"/>
      <c r="AU41" s="62"/>
      <c r="AV41" s="60"/>
      <c r="AW41" s="60"/>
      <c r="AX41" s="60"/>
      <c r="AY41" s="60"/>
      <c r="AZ41" s="60"/>
      <c r="BA41" s="60"/>
      <c r="BB41" s="60"/>
      <c r="BC41" s="60"/>
      <c r="BD41" s="60"/>
      <c r="BE41" s="60"/>
      <c r="BF41" s="56"/>
      <c r="BG41" s="58"/>
      <c r="BH41" s="58"/>
      <c r="BI41" s="58"/>
      <c r="BJ41" s="62"/>
      <c r="BK41" s="60"/>
      <c r="BL41" s="60"/>
      <c r="BM41" s="60"/>
      <c r="BN41" s="60"/>
      <c r="BO41" s="60"/>
      <c r="BP41" s="60"/>
      <c r="BQ41" s="60"/>
      <c r="BR41" s="60"/>
      <c r="BS41" s="60"/>
      <c r="BT41" s="60"/>
      <c r="BU41" s="60"/>
      <c r="BV41" s="60"/>
      <c r="BW41" s="60"/>
      <c r="BX41" s="60"/>
      <c r="BY41" s="60"/>
      <c r="BZ41" s="56"/>
      <c r="CA41" s="58"/>
      <c r="CB41" s="58"/>
      <c r="CC41" s="64"/>
      <c r="CD41" s="64"/>
      <c r="CE41" s="60"/>
      <c r="CF41" s="60"/>
      <c r="CG41" s="60"/>
      <c r="CH41" s="60"/>
      <c r="CI41" s="60"/>
      <c r="CJ41" s="60"/>
      <c r="CK41" s="60"/>
      <c r="CL41" s="60"/>
      <c r="CM41" s="60"/>
      <c r="CN41" s="60"/>
      <c r="CO41" s="60"/>
      <c r="CP41" s="60"/>
      <c r="CQ41" s="60"/>
      <c r="CR41" s="60"/>
      <c r="CS41" s="60"/>
      <c r="CT41" s="56"/>
      <c r="CU41" s="64"/>
      <c r="CV41" s="64"/>
      <c r="CW41" s="64"/>
      <c r="CX41" s="64"/>
      <c r="CY41" s="60"/>
      <c r="CZ41" s="60"/>
      <c r="DA41" s="60"/>
      <c r="DB41" s="60"/>
      <c r="DC41" s="60"/>
      <c r="DD41" s="60"/>
      <c r="DE41" s="60"/>
      <c r="DF41" s="60"/>
      <c r="DG41" s="60"/>
      <c r="DH41" s="60"/>
      <c r="DI41" s="60"/>
      <c r="DJ41" s="60"/>
      <c r="DK41" s="60"/>
      <c r="DL41" s="60"/>
      <c r="DM41" s="60"/>
      <c r="DN41" s="56"/>
      <c r="DO41" s="58"/>
      <c r="DP41" s="58"/>
      <c r="DQ41" s="64"/>
      <c r="DR41" s="60"/>
      <c r="DS41" s="60"/>
      <c r="DT41" s="60"/>
      <c r="DU41" s="60"/>
      <c r="DV41" s="60"/>
      <c r="DW41" s="60"/>
      <c r="DX41" s="60"/>
      <c r="DY41" s="60"/>
      <c r="DZ41" s="60"/>
      <c r="EA41" s="60"/>
      <c r="EB41" s="60"/>
      <c r="EC41" s="62"/>
      <c r="ED41" s="62"/>
      <c r="EE41" s="60"/>
      <c r="EF41" s="60"/>
      <c r="EG41" s="60"/>
      <c r="EH41" s="56"/>
      <c r="EI41" s="58"/>
      <c r="EJ41" s="58"/>
      <c r="EK41" s="64"/>
      <c r="EL41" s="60"/>
      <c r="EM41" s="60"/>
      <c r="EN41" s="60"/>
      <c r="EO41" s="60"/>
      <c r="EP41" s="60"/>
      <c r="EQ41" s="60"/>
      <c r="ER41" s="60"/>
      <c r="ES41" s="60"/>
      <c r="ET41" s="60"/>
      <c r="EU41" s="60"/>
      <c r="EV41" s="60"/>
      <c r="EW41" s="60"/>
      <c r="EX41" s="60"/>
      <c r="EY41" s="60"/>
      <c r="EZ41" s="60"/>
      <c r="FA41" s="60"/>
      <c r="FB41" s="56"/>
      <c r="FC41" s="64"/>
      <c r="FD41" s="64"/>
      <c r="FE41" s="64"/>
      <c r="FF41" s="60"/>
      <c r="FG41" s="60"/>
      <c r="FH41" s="60"/>
      <c r="FI41" s="60"/>
      <c r="FJ41" s="60"/>
      <c r="FK41" s="60"/>
      <c r="FL41" s="60"/>
      <c r="FM41" s="60"/>
      <c r="FN41" s="60"/>
      <c r="FO41" s="60"/>
      <c r="FP41" s="60"/>
      <c r="FQ41" s="60"/>
      <c r="FR41" s="60"/>
      <c r="FS41" s="60"/>
      <c r="FT41" s="60"/>
      <c r="FU41" s="60"/>
      <c r="FV41" s="56"/>
      <c r="FW41" s="64"/>
      <c r="FX41" s="64"/>
      <c r="FY41" s="64"/>
      <c r="FZ41" s="60"/>
      <c r="GA41" s="60"/>
      <c r="GB41" s="60"/>
      <c r="GC41" s="60"/>
      <c r="GD41" s="60"/>
      <c r="GE41" s="60"/>
      <c r="GF41" s="60"/>
      <c r="GG41" s="60"/>
      <c r="GH41" s="60"/>
      <c r="GI41" s="60"/>
      <c r="GJ41" s="60"/>
      <c r="GK41" s="60"/>
      <c r="GL41" s="60"/>
      <c r="GM41" s="60"/>
      <c r="GN41" s="60"/>
      <c r="GO41" s="60"/>
      <c r="GP41" s="56"/>
      <c r="GQ41" s="64"/>
      <c r="GR41" s="64"/>
      <c r="GS41" s="64"/>
      <c r="GT41" s="60"/>
      <c r="GU41" s="60"/>
      <c r="GV41" s="60"/>
      <c r="GW41" s="60"/>
      <c r="GX41" s="60"/>
      <c r="GY41" s="60"/>
      <c r="GZ41" s="62"/>
      <c r="HA41" s="62"/>
      <c r="HB41" s="62"/>
      <c r="HC41" s="62"/>
      <c r="HD41" s="62"/>
      <c r="HE41" s="62"/>
      <c r="HF41" s="62"/>
      <c r="HG41" s="62"/>
      <c r="HH41" s="62"/>
      <c r="HI41" s="62"/>
      <c r="HJ41" s="56"/>
      <c r="HK41" s="58"/>
      <c r="HL41" s="58"/>
      <c r="HM41" s="58"/>
      <c r="HN41" s="62"/>
      <c r="HO41" s="62"/>
      <c r="HP41" s="62"/>
      <c r="HQ41" s="62"/>
      <c r="HR41" s="62"/>
      <c r="HS41" s="62"/>
      <c r="HT41" s="62"/>
      <c r="HU41" s="62"/>
      <c r="HV41" s="62"/>
      <c r="HW41" s="62"/>
      <c r="HX41" s="62"/>
      <c r="HY41" s="62"/>
      <c r="HZ41" s="62"/>
      <c r="IA41" s="62"/>
      <c r="IB41" s="62"/>
      <c r="IC41" s="62"/>
      <c r="ID41" s="4"/>
      <c r="IF41" s="23"/>
      <c r="IG41" s="28"/>
      <c r="IH41" s="30" t="s">
        <v>95</v>
      </c>
      <c r="II41" s="29">
        <f t="shared" si="11"/>
        <v>2</v>
      </c>
      <c r="IJ41" s="29" t="str">
        <f t="shared" si="13"/>
        <v>Color2</v>
      </c>
      <c r="IK41" s="8">
        <f t="shared" si="12"/>
        <v>290</v>
      </c>
      <c r="IL41" s="23"/>
    </row>
    <row r="42" spans="1:246" x14ac:dyDescent="0.15">
      <c r="A42" s="227"/>
      <c r="B42" s="6" t="s">
        <v>9</v>
      </c>
      <c r="C42" s="7" t="str">
        <f t="shared" si="5"/>
        <v>*</v>
      </c>
      <c r="D42" s="91" t="s">
        <v>194</v>
      </c>
      <c r="E42" s="103" t="s">
        <v>184</v>
      </c>
      <c r="F42" s="93">
        <v>44837</v>
      </c>
      <c r="G42" s="94">
        <v>1</v>
      </c>
      <c r="H42" s="94">
        <v>40</v>
      </c>
      <c r="I42" s="95">
        <v>290</v>
      </c>
      <c r="J42" s="96"/>
      <c r="K42" s="146" t="s">
        <v>160</v>
      </c>
      <c r="L42" s="158">
        <v>44837</v>
      </c>
      <c r="M42" s="159">
        <v>1</v>
      </c>
      <c r="N42" s="159">
        <v>40</v>
      </c>
      <c r="O42" s="160">
        <v>290</v>
      </c>
      <c r="P42" s="167">
        <v>100</v>
      </c>
      <c r="Q42" s="21"/>
      <c r="R42" s="56"/>
      <c r="S42" s="58"/>
      <c r="T42" s="58"/>
      <c r="U42" s="58"/>
      <c r="V42" s="64"/>
      <c r="W42" s="60"/>
      <c r="X42" s="60"/>
      <c r="Y42" s="60"/>
      <c r="Z42" s="60"/>
      <c r="AA42" s="60"/>
      <c r="AB42" s="60"/>
      <c r="AC42" s="60"/>
      <c r="AD42" s="60"/>
      <c r="AE42" s="60"/>
      <c r="AF42" s="60"/>
      <c r="AG42" s="62"/>
      <c r="AH42" s="62"/>
      <c r="AI42" s="60"/>
      <c r="AJ42" s="60"/>
      <c r="AK42" s="60"/>
      <c r="AL42" s="56"/>
      <c r="AM42" s="58"/>
      <c r="AN42" s="58"/>
      <c r="AO42" s="58"/>
      <c r="AP42" s="62"/>
      <c r="AQ42" s="62"/>
      <c r="AR42" s="62"/>
      <c r="AS42" s="62"/>
      <c r="AT42" s="62"/>
      <c r="AU42" s="62"/>
      <c r="AV42" s="60"/>
      <c r="AW42" s="60"/>
      <c r="AX42" s="60"/>
      <c r="AY42" s="60"/>
      <c r="AZ42" s="60"/>
      <c r="BA42" s="60"/>
      <c r="BB42" s="60"/>
      <c r="BC42" s="60"/>
      <c r="BD42" s="60"/>
      <c r="BE42" s="60"/>
      <c r="BF42" s="56"/>
      <c r="BG42" s="58"/>
      <c r="BH42" s="58"/>
      <c r="BI42" s="58"/>
      <c r="BJ42" s="62"/>
      <c r="BK42" s="60"/>
      <c r="BL42" s="60"/>
      <c r="BM42" s="60"/>
      <c r="BN42" s="60"/>
      <c r="BO42" s="60"/>
      <c r="BP42" s="60"/>
      <c r="BQ42" s="60"/>
      <c r="BR42" s="60"/>
      <c r="BS42" s="60"/>
      <c r="BT42" s="60"/>
      <c r="BU42" s="60"/>
      <c r="BV42" s="60"/>
      <c r="BW42" s="60"/>
      <c r="BX42" s="60"/>
      <c r="BY42" s="60"/>
      <c r="BZ42" s="56"/>
      <c r="CA42" s="58"/>
      <c r="CB42" s="58"/>
      <c r="CC42" s="64"/>
      <c r="CD42" s="64"/>
      <c r="CE42" s="60"/>
      <c r="CF42" s="60"/>
      <c r="CG42" s="60"/>
      <c r="CH42" s="60"/>
      <c r="CI42" s="60"/>
      <c r="CJ42" s="60"/>
      <c r="CK42" s="60"/>
      <c r="CL42" s="60"/>
      <c r="CM42" s="60"/>
      <c r="CN42" s="60"/>
      <c r="CO42" s="60"/>
      <c r="CP42" s="60"/>
      <c r="CQ42" s="60"/>
      <c r="CR42" s="60"/>
      <c r="CS42" s="60"/>
      <c r="CT42" s="56"/>
      <c r="CU42" s="64"/>
      <c r="CV42" s="64"/>
      <c r="CW42" s="64"/>
      <c r="CX42" s="64"/>
      <c r="CY42" s="60"/>
      <c r="CZ42" s="60"/>
      <c r="DA42" s="60"/>
      <c r="DB42" s="60"/>
      <c r="DC42" s="60"/>
      <c r="DD42" s="60"/>
      <c r="DE42" s="60"/>
      <c r="DF42" s="60"/>
      <c r="DG42" s="60"/>
      <c r="DH42" s="60"/>
      <c r="DI42" s="60"/>
      <c r="DJ42" s="60"/>
      <c r="DK42" s="60"/>
      <c r="DL42" s="60"/>
      <c r="DM42" s="60"/>
      <c r="DN42" s="56"/>
      <c r="DO42" s="58"/>
      <c r="DP42" s="58"/>
      <c r="DQ42" s="64"/>
      <c r="DR42" s="60"/>
      <c r="DS42" s="60"/>
      <c r="DT42" s="60"/>
      <c r="DU42" s="60"/>
      <c r="DV42" s="60"/>
      <c r="DW42" s="60"/>
      <c r="DX42" s="60"/>
      <c r="DY42" s="60"/>
      <c r="DZ42" s="60"/>
      <c r="EA42" s="60"/>
      <c r="EB42" s="60"/>
      <c r="EC42" s="62"/>
      <c r="ED42" s="62"/>
      <c r="EE42" s="60"/>
      <c r="EF42" s="60"/>
      <c r="EG42" s="60"/>
      <c r="EH42" s="56"/>
      <c r="EI42" s="58"/>
      <c r="EJ42" s="58"/>
      <c r="EK42" s="64"/>
      <c r="EL42" s="60"/>
      <c r="EM42" s="60"/>
      <c r="EN42" s="60"/>
      <c r="EO42" s="60"/>
      <c r="EP42" s="60"/>
      <c r="EQ42" s="60"/>
      <c r="ER42" s="60"/>
      <c r="ES42" s="60"/>
      <c r="ET42" s="60"/>
      <c r="EU42" s="60"/>
      <c r="EV42" s="60"/>
      <c r="EW42" s="60"/>
      <c r="EX42" s="60"/>
      <c r="EY42" s="60"/>
      <c r="EZ42" s="60"/>
      <c r="FA42" s="60"/>
      <c r="FB42" s="56"/>
      <c r="FC42" s="64"/>
      <c r="FD42" s="64"/>
      <c r="FE42" s="64"/>
      <c r="FF42" s="60"/>
      <c r="FG42" s="60"/>
      <c r="FH42" s="60"/>
      <c r="FI42" s="60"/>
      <c r="FJ42" s="60"/>
      <c r="FK42" s="60"/>
      <c r="FL42" s="60"/>
      <c r="FM42" s="60"/>
      <c r="FN42" s="60"/>
      <c r="FO42" s="60"/>
      <c r="FP42" s="60"/>
      <c r="FQ42" s="60"/>
      <c r="FR42" s="60"/>
      <c r="FS42" s="60"/>
      <c r="FT42" s="60"/>
      <c r="FU42" s="60"/>
      <c r="FV42" s="56"/>
      <c r="FW42" s="64"/>
      <c r="FX42" s="64"/>
      <c r="FY42" s="64"/>
      <c r="FZ42" s="60"/>
      <c r="GA42" s="60"/>
      <c r="GB42" s="60"/>
      <c r="GC42" s="60"/>
      <c r="GD42" s="60"/>
      <c r="GE42" s="60"/>
      <c r="GF42" s="60"/>
      <c r="GG42" s="60"/>
      <c r="GH42" s="60"/>
      <c r="GI42" s="60"/>
      <c r="GJ42" s="60"/>
      <c r="GK42" s="60"/>
      <c r="GL42" s="60"/>
      <c r="GM42" s="60"/>
      <c r="GN42" s="60"/>
      <c r="GO42" s="60"/>
      <c r="GP42" s="56"/>
      <c r="GQ42" s="64"/>
      <c r="GR42" s="64"/>
      <c r="GS42" s="64"/>
      <c r="GT42" s="60"/>
      <c r="GU42" s="60"/>
      <c r="GV42" s="60"/>
      <c r="GW42" s="60"/>
      <c r="GX42" s="60"/>
      <c r="GY42" s="60"/>
      <c r="GZ42" s="62"/>
      <c r="HA42" s="62"/>
      <c r="HB42" s="62"/>
      <c r="HC42" s="62"/>
      <c r="HD42" s="62"/>
      <c r="HE42" s="62"/>
      <c r="HF42" s="62"/>
      <c r="HG42" s="62"/>
      <c r="HH42" s="62"/>
      <c r="HI42" s="62"/>
      <c r="HJ42" s="56"/>
      <c r="HK42" s="58"/>
      <c r="HL42" s="58"/>
      <c r="HM42" s="58"/>
      <c r="HN42" s="62"/>
      <c r="HO42" s="62"/>
      <c r="HP42" s="62"/>
      <c r="HQ42" s="62"/>
      <c r="HR42" s="62"/>
      <c r="HS42" s="62"/>
      <c r="HT42" s="62"/>
      <c r="HU42" s="62"/>
      <c r="HV42" s="62"/>
      <c r="HW42" s="62"/>
      <c r="HX42" s="62"/>
      <c r="HY42" s="62"/>
      <c r="HZ42" s="62"/>
      <c r="IA42" s="62"/>
      <c r="IB42" s="62"/>
      <c r="IC42" s="62"/>
      <c r="ID42" s="4"/>
      <c r="IF42" s="23"/>
      <c r="IG42" s="28"/>
      <c r="IH42" s="30" t="s">
        <v>95</v>
      </c>
      <c r="II42" s="29">
        <f t="shared" si="11"/>
        <v>5</v>
      </c>
      <c r="IJ42" s="29" t="str">
        <f t="shared" si="13"/>
        <v>Color5</v>
      </c>
      <c r="IK42" s="8">
        <f t="shared" si="12"/>
        <v>290</v>
      </c>
      <c r="IL42" s="23"/>
    </row>
    <row r="43" spans="1:246" x14ac:dyDescent="0.15">
      <c r="A43" s="227"/>
      <c r="B43" s="6" t="s">
        <v>10</v>
      </c>
      <c r="C43" s="7" t="str">
        <f t="shared" si="5"/>
        <v>*</v>
      </c>
      <c r="D43" s="91" t="s">
        <v>194</v>
      </c>
      <c r="E43" s="103" t="s">
        <v>190</v>
      </c>
      <c r="F43" s="93">
        <v>44837</v>
      </c>
      <c r="G43" s="94">
        <v>1</v>
      </c>
      <c r="H43" s="94">
        <v>40</v>
      </c>
      <c r="I43" s="95">
        <v>290</v>
      </c>
      <c r="J43" s="96"/>
      <c r="K43" s="146" t="s">
        <v>160</v>
      </c>
      <c r="L43" s="158">
        <v>44837</v>
      </c>
      <c r="M43" s="159">
        <v>1</v>
      </c>
      <c r="N43" s="159">
        <v>40</v>
      </c>
      <c r="O43" s="160">
        <v>290</v>
      </c>
      <c r="P43" s="169">
        <v>100</v>
      </c>
      <c r="Q43" s="21"/>
      <c r="R43" s="56"/>
      <c r="S43" s="58"/>
      <c r="T43" s="58"/>
      <c r="U43" s="58"/>
      <c r="V43" s="64"/>
      <c r="W43" s="60"/>
      <c r="X43" s="60"/>
      <c r="Y43" s="60"/>
      <c r="Z43" s="60"/>
      <c r="AA43" s="60"/>
      <c r="AB43" s="60"/>
      <c r="AC43" s="60"/>
      <c r="AD43" s="60"/>
      <c r="AE43" s="60"/>
      <c r="AF43" s="60"/>
      <c r="AG43" s="62"/>
      <c r="AH43" s="62"/>
      <c r="AI43" s="60"/>
      <c r="AJ43" s="60"/>
      <c r="AK43" s="60"/>
      <c r="AL43" s="56"/>
      <c r="AM43" s="58"/>
      <c r="AN43" s="58"/>
      <c r="AO43" s="58"/>
      <c r="AP43" s="62"/>
      <c r="AQ43" s="62"/>
      <c r="AR43" s="62"/>
      <c r="AS43" s="62"/>
      <c r="AT43" s="62"/>
      <c r="AU43" s="62"/>
      <c r="AV43" s="60"/>
      <c r="AW43" s="60"/>
      <c r="AX43" s="60"/>
      <c r="AY43" s="60"/>
      <c r="AZ43" s="60"/>
      <c r="BA43" s="60"/>
      <c r="BB43" s="60"/>
      <c r="BC43" s="60"/>
      <c r="BD43" s="60"/>
      <c r="BE43" s="60"/>
      <c r="BF43" s="56"/>
      <c r="BG43" s="58"/>
      <c r="BH43" s="58"/>
      <c r="BI43" s="58"/>
      <c r="BJ43" s="62"/>
      <c r="BK43" s="60"/>
      <c r="BL43" s="60"/>
      <c r="BM43" s="60"/>
      <c r="BN43" s="60"/>
      <c r="BO43" s="60"/>
      <c r="BP43" s="60"/>
      <c r="BQ43" s="60"/>
      <c r="BR43" s="60"/>
      <c r="BS43" s="60"/>
      <c r="BT43" s="60"/>
      <c r="BU43" s="60"/>
      <c r="BV43" s="60"/>
      <c r="BW43" s="60"/>
      <c r="BX43" s="60"/>
      <c r="BY43" s="60"/>
      <c r="BZ43" s="56"/>
      <c r="CA43" s="58"/>
      <c r="CB43" s="58"/>
      <c r="CC43" s="64"/>
      <c r="CD43" s="64"/>
      <c r="CE43" s="60"/>
      <c r="CF43" s="60"/>
      <c r="CG43" s="60"/>
      <c r="CH43" s="60"/>
      <c r="CI43" s="60"/>
      <c r="CJ43" s="60"/>
      <c r="CK43" s="60"/>
      <c r="CL43" s="60"/>
      <c r="CM43" s="60"/>
      <c r="CN43" s="60"/>
      <c r="CO43" s="60"/>
      <c r="CP43" s="60"/>
      <c r="CQ43" s="60"/>
      <c r="CR43" s="60"/>
      <c r="CS43" s="60"/>
      <c r="CT43" s="56"/>
      <c r="CU43" s="64"/>
      <c r="CV43" s="64"/>
      <c r="CW43" s="64"/>
      <c r="CX43" s="64"/>
      <c r="CY43" s="60"/>
      <c r="CZ43" s="60"/>
      <c r="DA43" s="60"/>
      <c r="DB43" s="60"/>
      <c r="DC43" s="60"/>
      <c r="DD43" s="60"/>
      <c r="DE43" s="60"/>
      <c r="DF43" s="60"/>
      <c r="DG43" s="60"/>
      <c r="DH43" s="60"/>
      <c r="DI43" s="60"/>
      <c r="DJ43" s="60"/>
      <c r="DK43" s="60"/>
      <c r="DL43" s="60"/>
      <c r="DM43" s="60"/>
      <c r="DN43" s="56"/>
      <c r="DO43" s="58"/>
      <c r="DP43" s="58"/>
      <c r="DQ43" s="64"/>
      <c r="DR43" s="60"/>
      <c r="DS43" s="60"/>
      <c r="DT43" s="60"/>
      <c r="DU43" s="60"/>
      <c r="DV43" s="60"/>
      <c r="DW43" s="60"/>
      <c r="DX43" s="60"/>
      <c r="DY43" s="60"/>
      <c r="DZ43" s="60"/>
      <c r="EA43" s="60"/>
      <c r="EB43" s="60"/>
      <c r="EC43" s="62"/>
      <c r="ED43" s="62"/>
      <c r="EE43" s="60"/>
      <c r="EF43" s="60"/>
      <c r="EG43" s="60"/>
      <c r="EH43" s="56"/>
      <c r="EI43" s="58"/>
      <c r="EJ43" s="58"/>
      <c r="EK43" s="64"/>
      <c r="EL43" s="60"/>
      <c r="EM43" s="60"/>
      <c r="EN43" s="60"/>
      <c r="EO43" s="60"/>
      <c r="EP43" s="60"/>
      <c r="EQ43" s="60"/>
      <c r="ER43" s="60"/>
      <c r="ES43" s="60"/>
      <c r="ET43" s="60"/>
      <c r="EU43" s="60"/>
      <c r="EV43" s="60"/>
      <c r="EW43" s="60"/>
      <c r="EX43" s="60"/>
      <c r="EY43" s="60"/>
      <c r="EZ43" s="60"/>
      <c r="FA43" s="60"/>
      <c r="FB43" s="56"/>
      <c r="FC43" s="64"/>
      <c r="FD43" s="64"/>
      <c r="FE43" s="64"/>
      <c r="FF43" s="60"/>
      <c r="FG43" s="60"/>
      <c r="FH43" s="60"/>
      <c r="FI43" s="60"/>
      <c r="FJ43" s="60"/>
      <c r="FK43" s="60"/>
      <c r="FL43" s="60"/>
      <c r="FM43" s="60"/>
      <c r="FN43" s="60"/>
      <c r="FO43" s="60"/>
      <c r="FP43" s="60"/>
      <c r="FQ43" s="60"/>
      <c r="FR43" s="60"/>
      <c r="FS43" s="60"/>
      <c r="FT43" s="60"/>
      <c r="FU43" s="60"/>
      <c r="FV43" s="56"/>
      <c r="FW43" s="64"/>
      <c r="FX43" s="64"/>
      <c r="FY43" s="64"/>
      <c r="FZ43" s="60"/>
      <c r="GA43" s="60"/>
      <c r="GB43" s="60"/>
      <c r="GC43" s="60"/>
      <c r="GD43" s="60"/>
      <c r="GE43" s="60"/>
      <c r="GF43" s="60"/>
      <c r="GG43" s="60"/>
      <c r="GH43" s="60"/>
      <c r="GI43" s="60"/>
      <c r="GJ43" s="60"/>
      <c r="GK43" s="60"/>
      <c r="GL43" s="60"/>
      <c r="GM43" s="60"/>
      <c r="GN43" s="60"/>
      <c r="GO43" s="60"/>
      <c r="GP43" s="56"/>
      <c r="GQ43" s="64"/>
      <c r="GR43" s="64"/>
      <c r="GS43" s="64"/>
      <c r="GT43" s="60"/>
      <c r="GU43" s="60"/>
      <c r="GV43" s="60"/>
      <c r="GW43" s="60"/>
      <c r="GX43" s="60"/>
      <c r="GY43" s="60"/>
      <c r="GZ43" s="62"/>
      <c r="HA43" s="62"/>
      <c r="HB43" s="62"/>
      <c r="HC43" s="62"/>
      <c r="HD43" s="62"/>
      <c r="HE43" s="62"/>
      <c r="HF43" s="62"/>
      <c r="HG43" s="62"/>
      <c r="HH43" s="62"/>
      <c r="HI43" s="62"/>
      <c r="HJ43" s="56"/>
      <c r="HK43" s="58"/>
      <c r="HL43" s="58"/>
      <c r="HM43" s="58"/>
      <c r="HN43" s="62"/>
      <c r="HO43" s="62"/>
      <c r="HP43" s="62"/>
      <c r="HQ43" s="62"/>
      <c r="HR43" s="62"/>
      <c r="HS43" s="62"/>
      <c r="HT43" s="62"/>
      <c r="HU43" s="62"/>
      <c r="HV43" s="62"/>
      <c r="HW43" s="62"/>
      <c r="HX43" s="62"/>
      <c r="HY43" s="62"/>
      <c r="HZ43" s="62"/>
      <c r="IA43" s="62"/>
      <c r="IB43" s="62"/>
      <c r="IC43" s="62"/>
      <c r="ID43" s="4"/>
      <c r="IF43" s="23"/>
      <c r="IG43" s="28"/>
      <c r="IH43" s="30" t="s">
        <v>95</v>
      </c>
      <c r="II43" s="29">
        <f t="shared" si="11"/>
        <v>6</v>
      </c>
      <c r="IJ43" s="29" t="str">
        <f t="shared" si="13"/>
        <v>Color6</v>
      </c>
      <c r="IK43" s="8">
        <f t="shared" si="12"/>
        <v>290</v>
      </c>
      <c r="IL43" s="23"/>
    </row>
    <row r="44" spans="1:246" x14ac:dyDescent="0.15">
      <c r="A44" s="227"/>
      <c r="B44" s="6" t="s">
        <v>11</v>
      </c>
      <c r="C44" s="7" t="str">
        <f t="shared" si="5"/>
        <v>*</v>
      </c>
      <c r="D44" s="91" t="s">
        <v>194</v>
      </c>
      <c r="E44" s="103" t="s">
        <v>188</v>
      </c>
      <c r="F44" s="93">
        <v>44837</v>
      </c>
      <c r="G44" s="94">
        <v>1</v>
      </c>
      <c r="H44" s="94">
        <v>40</v>
      </c>
      <c r="I44" s="95">
        <v>290</v>
      </c>
      <c r="J44" s="96"/>
      <c r="K44" s="146" t="s">
        <v>160</v>
      </c>
      <c r="L44" s="158">
        <v>44837</v>
      </c>
      <c r="M44" s="159">
        <v>1</v>
      </c>
      <c r="N44" s="159">
        <v>40</v>
      </c>
      <c r="O44" s="160">
        <v>290</v>
      </c>
      <c r="P44" s="169">
        <v>100</v>
      </c>
      <c r="Q44" s="21"/>
      <c r="R44" s="56"/>
      <c r="S44" s="58"/>
      <c r="T44" s="58"/>
      <c r="U44" s="58"/>
      <c r="V44" s="64"/>
      <c r="W44" s="60"/>
      <c r="X44" s="60"/>
      <c r="Y44" s="60"/>
      <c r="Z44" s="60"/>
      <c r="AA44" s="60"/>
      <c r="AB44" s="60"/>
      <c r="AC44" s="60"/>
      <c r="AD44" s="60"/>
      <c r="AE44" s="60"/>
      <c r="AF44" s="60"/>
      <c r="AG44" s="62"/>
      <c r="AH44" s="62"/>
      <c r="AI44" s="60"/>
      <c r="AJ44" s="60"/>
      <c r="AK44" s="60"/>
      <c r="AL44" s="56"/>
      <c r="AM44" s="58"/>
      <c r="AN44" s="58"/>
      <c r="AO44" s="58"/>
      <c r="AP44" s="62"/>
      <c r="AQ44" s="62"/>
      <c r="AR44" s="62"/>
      <c r="AS44" s="62"/>
      <c r="AT44" s="62"/>
      <c r="AU44" s="62"/>
      <c r="AV44" s="60"/>
      <c r="AW44" s="60"/>
      <c r="AX44" s="60"/>
      <c r="AY44" s="60"/>
      <c r="AZ44" s="60"/>
      <c r="BA44" s="60"/>
      <c r="BB44" s="60"/>
      <c r="BC44" s="60"/>
      <c r="BD44" s="60"/>
      <c r="BE44" s="60"/>
      <c r="BF44" s="56"/>
      <c r="BG44" s="58"/>
      <c r="BH44" s="58"/>
      <c r="BI44" s="58"/>
      <c r="BJ44" s="62"/>
      <c r="BK44" s="60"/>
      <c r="BL44" s="60"/>
      <c r="BM44" s="60"/>
      <c r="BN44" s="60"/>
      <c r="BO44" s="60"/>
      <c r="BP44" s="60"/>
      <c r="BQ44" s="60"/>
      <c r="BR44" s="60"/>
      <c r="BS44" s="60"/>
      <c r="BT44" s="60"/>
      <c r="BU44" s="60"/>
      <c r="BV44" s="60"/>
      <c r="BW44" s="60"/>
      <c r="BX44" s="60"/>
      <c r="BY44" s="60"/>
      <c r="BZ44" s="56"/>
      <c r="CA44" s="58"/>
      <c r="CB44" s="58"/>
      <c r="CC44" s="64"/>
      <c r="CD44" s="64"/>
      <c r="CE44" s="60"/>
      <c r="CF44" s="60"/>
      <c r="CG44" s="60"/>
      <c r="CH44" s="60"/>
      <c r="CI44" s="60"/>
      <c r="CJ44" s="60"/>
      <c r="CK44" s="60"/>
      <c r="CL44" s="60"/>
      <c r="CM44" s="60"/>
      <c r="CN44" s="60"/>
      <c r="CO44" s="60"/>
      <c r="CP44" s="60"/>
      <c r="CQ44" s="60"/>
      <c r="CR44" s="60"/>
      <c r="CS44" s="60"/>
      <c r="CT44" s="56"/>
      <c r="CU44" s="64"/>
      <c r="CV44" s="64"/>
      <c r="CW44" s="64"/>
      <c r="CX44" s="64"/>
      <c r="CY44" s="60"/>
      <c r="CZ44" s="60"/>
      <c r="DA44" s="60"/>
      <c r="DB44" s="60"/>
      <c r="DC44" s="60"/>
      <c r="DD44" s="60"/>
      <c r="DE44" s="60"/>
      <c r="DF44" s="60"/>
      <c r="DG44" s="60"/>
      <c r="DH44" s="60"/>
      <c r="DI44" s="60"/>
      <c r="DJ44" s="60"/>
      <c r="DK44" s="60"/>
      <c r="DL44" s="60"/>
      <c r="DM44" s="60"/>
      <c r="DN44" s="56"/>
      <c r="DO44" s="58"/>
      <c r="DP44" s="58"/>
      <c r="DQ44" s="64"/>
      <c r="DR44" s="60"/>
      <c r="DS44" s="60"/>
      <c r="DT44" s="60"/>
      <c r="DU44" s="60"/>
      <c r="DV44" s="60"/>
      <c r="DW44" s="60"/>
      <c r="DX44" s="60"/>
      <c r="DY44" s="60"/>
      <c r="DZ44" s="60"/>
      <c r="EA44" s="60"/>
      <c r="EB44" s="60"/>
      <c r="EC44" s="62"/>
      <c r="ED44" s="62"/>
      <c r="EE44" s="60"/>
      <c r="EF44" s="60"/>
      <c r="EG44" s="60"/>
      <c r="EH44" s="56"/>
      <c r="EI44" s="58"/>
      <c r="EJ44" s="58"/>
      <c r="EK44" s="64"/>
      <c r="EL44" s="60"/>
      <c r="EM44" s="60"/>
      <c r="EN44" s="60"/>
      <c r="EO44" s="60"/>
      <c r="EP44" s="60"/>
      <c r="EQ44" s="60"/>
      <c r="ER44" s="60"/>
      <c r="ES44" s="60"/>
      <c r="ET44" s="60"/>
      <c r="EU44" s="60"/>
      <c r="EV44" s="60"/>
      <c r="EW44" s="60"/>
      <c r="EX44" s="60"/>
      <c r="EY44" s="60"/>
      <c r="EZ44" s="60"/>
      <c r="FA44" s="60"/>
      <c r="FB44" s="56"/>
      <c r="FC44" s="64"/>
      <c r="FD44" s="64"/>
      <c r="FE44" s="64"/>
      <c r="FF44" s="60"/>
      <c r="FG44" s="60"/>
      <c r="FH44" s="60"/>
      <c r="FI44" s="60"/>
      <c r="FJ44" s="60"/>
      <c r="FK44" s="60"/>
      <c r="FL44" s="60"/>
      <c r="FM44" s="60"/>
      <c r="FN44" s="60"/>
      <c r="FO44" s="60"/>
      <c r="FP44" s="60"/>
      <c r="FQ44" s="60"/>
      <c r="FR44" s="60"/>
      <c r="FS44" s="60"/>
      <c r="FT44" s="60"/>
      <c r="FU44" s="60"/>
      <c r="FV44" s="56"/>
      <c r="FW44" s="64"/>
      <c r="FX44" s="64"/>
      <c r="FY44" s="64"/>
      <c r="FZ44" s="60"/>
      <c r="GA44" s="60"/>
      <c r="GB44" s="60"/>
      <c r="GC44" s="60"/>
      <c r="GD44" s="60"/>
      <c r="GE44" s="60"/>
      <c r="GF44" s="60"/>
      <c r="GG44" s="60"/>
      <c r="GH44" s="60"/>
      <c r="GI44" s="60"/>
      <c r="GJ44" s="60"/>
      <c r="GK44" s="60"/>
      <c r="GL44" s="60"/>
      <c r="GM44" s="60"/>
      <c r="GN44" s="60"/>
      <c r="GO44" s="60"/>
      <c r="GP44" s="56"/>
      <c r="GQ44" s="64"/>
      <c r="GR44" s="64"/>
      <c r="GS44" s="64"/>
      <c r="GT44" s="60"/>
      <c r="GU44" s="60"/>
      <c r="GV44" s="60"/>
      <c r="GW44" s="60"/>
      <c r="GX44" s="60"/>
      <c r="GY44" s="60"/>
      <c r="GZ44" s="62"/>
      <c r="HA44" s="62"/>
      <c r="HB44" s="62"/>
      <c r="HC44" s="62"/>
      <c r="HD44" s="62"/>
      <c r="HE44" s="62"/>
      <c r="HF44" s="62"/>
      <c r="HG44" s="62"/>
      <c r="HH44" s="62"/>
      <c r="HI44" s="62"/>
      <c r="HJ44" s="56"/>
      <c r="HK44" s="58"/>
      <c r="HL44" s="58"/>
      <c r="HM44" s="58"/>
      <c r="HN44" s="62"/>
      <c r="HO44" s="62"/>
      <c r="HP44" s="62"/>
      <c r="HQ44" s="62"/>
      <c r="HR44" s="62"/>
      <c r="HS44" s="62"/>
      <c r="HT44" s="62"/>
      <c r="HU44" s="62"/>
      <c r="HV44" s="62"/>
      <c r="HW44" s="62"/>
      <c r="HX44" s="62"/>
      <c r="HY44" s="62"/>
      <c r="HZ44" s="62"/>
      <c r="IA44" s="62"/>
      <c r="IB44" s="62"/>
      <c r="IC44" s="62"/>
      <c r="ID44" s="4"/>
      <c r="IF44" s="23"/>
      <c r="IG44" s="28"/>
      <c r="IH44" s="30" t="s">
        <v>95</v>
      </c>
      <c r="II44" s="29">
        <f t="shared" si="11"/>
        <v>4</v>
      </c>
      <c r="IJ44" s="29" t="str">
        <f t="shared" si="13"/>
        <v>Color4</v>
      </c>
      <c r="IK44" s="8">
        <f t="shared" si="12"/>
        <v>290</v>
      </c>
      <c r="IL44" s="23"/>
    </row>
    <row r="45" spans="1:246" x14ac:dyDescent="0.15">
      <c r="A45" s="227"/>
      <c r="B45" s="6" t="s">
        <v>12</v>
      </c>
      <c r="C45" s="7" t="str">
        <f t="shared" si="5"/>
        <v>*</v>
      </c>
      <c r="D45" s="91" t="s">
        <v>194</v>
      </c>
      <c r="E45" s="103" t="s">
        <v>186</v>
      </c>
      <c r="F45" s="93">
        <v>44837</v>
      </c>
      <c r="G45" s="94">
        <v>1</v>
      </c>
      <c r="H45" s="94">
        <v>40</v>
      </c>
      <c r="I45" s="95">
        <v>290</v>
      </c>
      <c r="J45" s="96"/>
      <c r="K45" s="146" t="s">
        <v>160</v>
      </c>
      <c r="L45" s="158">
        <v>44837</v>
      </c>
      <c r="M45" s="159">
        <v>1</v>
      </c>
      <c r="N45" s="159">
        <v>40</v>
      </c>
      <c r="O45" s="160">
        <v>290</v>
      </c>
      <c r="P45" s="169">
        <v>100</v>
      </c>
      <c r="Q45" s="21"/>
      <c r="R45" s="56"/>
      <c r="S45" s="58"/>
      <c r="T45" s="58"/>
      <c r="U45" s="58"/>
      <c r="V45" s="64"/>
      <c r="W45" s="60"/>
      <c r="X45" s="60"/>
      <c r="Y45" s="60"/>
      <c r="Z45" s="60"/>
      <c r="AA45" s="60"/>
      <c r="AB45" s="60"/>
      <c r="AC45" s="60"/>
      <c r="AD45" s="60"/>
      <c r="AE45" s="60"/>
      <c r="AF45" s="60"/>
      <c r="AG45" s="62"/>
      <c r="AH45" s="62"/>
      <c r="AI45" s="60"/>
      <c r="AJ45" s="60"/>
      <c r="AK45" s="60"/>
      <c r="AL45" s="56"/>
      <c r="AM45" s="58"/>
      <c r="AN45" s="58"/>
      <c r="AO45" s="58"/>
      <c r="AP45" s="62"/>
      <c r="AQ45" s="62"/>
      <c r="AR45" s="62"/>
      <c r="AS45" s="62"/>
      <c r="AT45" s="62"/>
      <c r="AU45" s="62"/>
      <c r="AV45" s="60"/>
      <c r="AW45" s="60"/>
      <c r="AX45" s="60"/>
      <c r="AY45" s="60"/>
      <c r="AZ45" s="60"/>
      <c r="BA45" s="60"/>
      <c r="BB45" s="60"/>
      <c r="BC45" s="60"/>
      <c r="BD45" s="60"/>
      <c r="BE45" s="60"/>
      <c r="BF45" s="56"/>
      <c r="BG45" s="58"/>
      <c r="BH45" s="58"/>
      <c r="BI45" s="58"/>
      <c r="BJ45" s="62"/>
      <c r="BK45" s="60"/>
      <c r="BL45" s="60"/>
      <c r="BM45" s="60"/>
      <c r="BN45" s="60"/>
      <c r="BO45" s="60"/>
      <c r="BP45" s="60"/>
      <c r="BQ45" s="60"/>
      <c r="BR45" s="60"/>
      <c r="BS45" s="60"/>
      <c r="BT45" s="60"/>
      <c r="BU45" s="60"/>
      <c r="BV45" s="60"/>
      <c r="BW45" s="60"/>
      <c r="BX45" s="60"/>
      <c r="BY45" s="60"/>
      <c r="BZ45" s="56"/>
      <c r="CA45" s="58"/>
      <c r="CB45" s="58"/>
      <c r="CC45" s="64"/>
      <c r="CD45" s="64"/>
      <c r="CE45" s="60"/>
      <c r="CF45" s="60"/>
      <c r="CG45" s="60"/>
      <c r="CH45" s="60"/>
      <c r="CI45" s="60"/>
      <c r="CJ45" s="60"/>
      <c r="CK45" s="60"/>
      <c r="CL45" s="60"/>
      <c r="CM45" s="60"/>
      <c r="CN45" s="60"/>
      <c r="CO45" s="60"/>
      <c r="CP45" s="60"/>
      <c r="CQ45" s="60"/>
      <c r="CR45" s="60"/>
      <c r="CS45" s="60"/>
      <c r="CT45" s="56"/>
      <c r="CU45" s="64"/>
      <c r="CV45" s="64"/>
      <c r="CW45" s="64"/>
      <c r="CX45" s="64"/>
      <c r="CY45" s="60"/>
      <c r="CZ45" s="60"/>
      <c r="DA45" s="60"/>
      <c r="DB45" s="60"/>
      <c r="DC45" s="60"/>
      <c r="DD45" s="60"/>
      <c r="DE45" s="60"/>
      <c r="DF45" s="60"/>
      <c r="DG45" s="60"/>
      <c r="DH45" s="60"/>
      <c r="DI45" s="60"/>
      <c r="DJ45" s="60"/>
      <c r="DK45" s="60"/>
      <c r="DL45" s="60"/>
      <c r="DM45" s="60"/>
      <c r="DN45" s="56"/>
      <c r="DO45" s="58"/>
      <c r="DP45" s="58"/>
      <c r="DQ45" s="64"/>
      <c r="DR45" s="60"/>
      <c r="DS45" s="60"/>
      <c r="DT45" s="60"/>
      <c r="DU45" s="60"/>
      <c r="DV45" s="60"/>
      <c r="DW45" s="60"/>
      <c r="DX45" s="60"/>
      <c r="DY45" s="60"/>
      <c r="DZ45" s="60"/>
      <c r="EA45" s="60"/>
      <c r="EB45" s="60"/>
      <c r="EC45" s="62"/>
      <c r="ED45" s="62"/>
      <c r="EE45" s="60"/>
      <c r="EF45" s="60"/>
      <c r="EG45" s="60"/>
      <c r="EH45" s="56"/>
      <c r="EI45" s="58"/>
      <c r="EJ45" s="58"/>
      <c r="EK45" s="64"/>
      <c r="EL45" s="60"/>
      <c r="EM45" s="60"/>
      <c r="EN45" s="60"/>
      <c r="EO45" s="60"/>
      <c r="EP45" s="60"/>
      <c r="EQ45" s="60"/>
      <c r="ER45" s="60"/>
      <c r="ES45" s="60"/>
      <c r="ET45" s="60"/>
      <c r="EU45" s="60"/>
      <c r="EV45" s="60"/>
      <c r="EW45" s="60"/>
      <c r="EX45" s="60"/>
      <c r="EY45" s="60"/>
      <c r="EZ45" s="60"/>
      <c r="FA45" s="60"/>
      <c r="FB45" s="56"/>
      <c r="FC45" s="64"/>
      <c r="FD45" s="64"/>
      <c r="FE45" s="64"/>
      <c r="FF45" s="60"/>
      <c r="FG45" s="60"/>
      <c r="FH45" s="60"/>
      <c r="FI45" s="60"/>
      <c r="FJ45" s="60"/>
      <c r="FK45" s="60"/>
      <c r="FL45" s="60"/>
      <c r="FM45" s="60"/>
      <c r="FN45" s="60"/>
      <c r="FO45" s="60"/>
      <c r="FP45" s="60"/>
      <c r="FQ45" s="60"/>
      <c r="FR45" s="60"/>
      <c r="FS45" s="60"/>
      <c r="FT45" s="60"/>
      <c r="FU45" s="60"/>
      <c r="FV45" s="56"/>
      <c r="FW45" s="64"/>
      <c r="FX45" s="64"/>
      <c r="FY45" s="64"/>
      <c r="FZ45" s="60"/>
      <c r="GA45" s="60"/>
      <c r="GB45" s="60"/>
      <c r="GC45" s="60"/>
      <c r="GD45" s="60"/>
      <c r="GE45" s="60"/>
      <c r="GF45" s="60"/>
      <c r="GG45" s="60"/>
      <c r="GH45" s="60"/>
      <c r="GI45" s="60"/>
      <c r="GJ45" s="60"/>
      <c r="GK45" s="60"/>
      <c r="GL45" s="60"/>
      <c r="GM45" s="60"/>
      <c r="GN45" s="60"/>
      <c r="GO45" s="60"/>
      <c r="GP45" s="56"/>
      <c r="GQ45" s="64"/>
      <c r="GR45" s="64"/>
      <c r="GS45" s="64"/>
      <c r="GT45" s="60"/>
      <c r="GU45" s="60"/>
      <c r="GV45" s="60"/>
      <c r="GW45" s="60"/>
      <c r="GX45" s="60"/>
      <c r="GY45" s="60"/>
      <c r="GZ45" s="62"/>
      <c r="HA45" s="62"/>
      <c r="HB45" s="62"/>
      <c r="HC45" s="62"/>
      <c r="HD45" s="62"/>
      <c r="HE45" s="62"/>
      <c r="HF45" s="62"/>
      <c r="HG45" s="62"/>
      <c r="HH45" s="62"/>
      <c r="HI45" s="62"/>
      <c r="HJ45" s="56"/>
      <c r="HK45" s="58"/>
      <c r="HL45" s="58"/>
      <c r="HM45" s="58"/>
      <c r="HN45" s="62"/>
      <c r="HO45" s="62"/>
      <c r="HP45" s="62"/>
      <c r="HQ45" s="62"/>
      <c r="HR45" s="62"/>
      <c r="HS45" s="62"/>
      <c r="HT45" s="62"/>
      <c r="HU45" s="62"/>
      <c r="HV45" s="62"/>
      <c r="HW45" s="62"/>
      <c r="HX45" s="62"/>
      <c r="HY45" s="62"/>
      <c r="HZ45" s="62"/>
      <c r="IA45" s="62"/>
      <c r="IB45" s="62"/>
      <c r="IC45" s="62"/>
      <c r="ID45" s="4"/>
      <c r="IF45" s="23"/>
      <c r="IG45" s="28"/>
      <c r="IH45" s="30" t="s">
        <v>95</v>
      </c>
      <c r="II45" s="29">
        <f t="shared" si="11"/>
        <v>3</v>
      </c>
      <c r="IJ45" s="29" t="str">
        <f t="shared" si="13"/>
        <v>Color3</v>
      </c>
      <c r="IK45" s="8">
        <f t="shared" si="12"/>
        <v>290</v>
      </c>
      <c r="IL45" s="23"/>
    </row>
    <row r="46" spans="1:246" x14ac:dyDescent="0.15">
      <c r="A46" s="227"/>
      <c r="B46" s="6" t="s">
        <v>44</v>
      </c>
      <c r="C46" s="7" t="str">
        <f t="shared" si="5"/>
        <v>*</v>
      </c>
      <c r="D46" s="91" t="s">
        <v>195</v>
      </c>
      <c r="E46" s="103" t="s">
        <v>180</v>
      </c>
      <c r="F46" s="93">
        <v>44837</v>
      </c>
      <c r="G46" s="94">
        <v>1</v>
      </c>
      <c r="H46" s="94">
        <v>40</v>
      </c>
      <c r="I46" s="95">
        <v>10</v>
      </c>
      <c r="J46" s="96"/>
      <c r="K46" s="146" t="s">
        <v>196</v>
      </c>
      <c r="L46" s="158">
        <v>44837</v>
      </c>
      <c r="M46" s="159">
        <v>1</v>
      </c>
      <c r="N46" s="159">
        <v>40</v>
      </c>
      <c r="O46" s="160">
        <v>5</v>
      </c>
      <c r="P46" s="169">
        <v>100</v>
      </c>
      <c r="Q46" s="21"/>
      <c r="R46" s="56"/>
      <c r="S46" s="58"/>
      <c r="T46" s="58"/>
      <c r="U46" s="58"/>
      <c r="V46" s="64"/>
      <c r="W46" s="60"/>
      <c r="X46" s="60"/>
      <c r="Y46" s="60"/>
      <c r="Z46" s="60"/>
      <c r="AA46" s="60"/>
      <c r="AB46" s="60"/>
      <c r="AC46" s="60"/>
      <c r="AD46" s="60"/>
      <c r="AE46" s="60"/>
      <c r="AF46" s="60"/>
      <c r="AG46" s="62"/>
      <c r="AH46" s="62"/>
      <c r="AI46" s="60"/>
      <c r="AJ46" s="60"/>
      <c r="AK46" s="60"/>
      <c r="AL46" s="56"/>
      <c r="AM46" s="58"/>
      <c r="AN46" s="58"/>
      <c r="AO46" s="58"/>
      <c r="AP46" s="62"/>
      <c r="AQ46" s="62"/>
      <c r="AR46" s="62"/>
      <c r="AS46" s="62"/>
      <c r="AT46" s="62"/>
      <c r="AU46" s="62"/>
      <c r="AV46" s="60"/>
      <c r="AW46" s="60"/>
      <c r="AX46" s="60"/>
      <c r="AY46" s="60"/>
      <c r="AZ46" s="60"/>
      <c r="BA46" s="60"/>
      <c r="BB46" s="60"/>
      <c r="BC46" s="60"/>
      <c r="BD46" s="60"/>
      <c r="BE46" s="60"/>
      <c r="BF46" s="56"/>
      <c r="BG46" s="58"/>
      <c r="BH46" s="58"/>
      <c r="BI46" s="58"/>
      <c r="BJ46" s="62"/>
      <c r="BK46" s="60"/>
      <c r="BL46" s="60"/>
      <c r="BM46" s="60"/>
      <c r="BN46" s="60"/>
      <c r="BO46" s="60"/>
      <c r="BP46" s="60"/>
      <c r="BQ46" s="60"/>
      <c r="BR46" s="60"/>
      <c r="BS46" s="60"/>
      <c r="BT46" s="60"/>
      <c r="BU46" s="60"/>
      <c r="BV46" s="60"/>
      <c r="BW46" s="60"/>
      <c r="BX46" s="60"/>
      <c r="BY46" s="60"/>
      <c r="BZ46" s="56"/>
      <c r="CA46" s="58"/>
      <c r="CB46" s="58"/>
      <c r="CC46" s="64"/>
      <c r="CD46" s="64"/>
      <c r="CE46" s="60"/>
      <c r="CF46" s="60"/>
      <c r="CG46" s="60"/>
      <c r="CH46" s="60"/>
      <c r="CI46" s="60"/>
      <c r="CJ46" s="60"/>
      <c r="CK46" s="60"/>
      <c r="CL46" s="60"/>
      <c r="CM46" s="60"/>
      <c r="CN46" s="60"/>
      <c r="CO46" s="60"/>
      <c r="CP46" s="60"/>
      <c r="CQ46" s="60"/>
      <c r="CR46" s="60"/>
      <c r="CS46" s="60"/>
      <c r="CT46" s="56"/>
      <c r="CU46" s="64"/>
      <c r="CV46" s="64"/>
      <c r="CW46" s="64"/>
      <c r="CX46" s="64"/>
      <c r="CY46" s="60"/>
      <c r="CZ46" s="60"/>
      <c r="DA46" s="60"/>
      <c r="DB46" s="60"/>
      <c r="DC46" s="60"/>
      <c r="DD46" s="60"/>
      <c r="DE46" s="60"/>
      <c r="DF46" s="60"/>
      <c r="DG46" s="60"/>
      <c r="DH46" s="60"/>
      <c r="DI46" s="60"/>
      <c r="DJ46" s="60"/>
      <c r="DK46" s="60"/>
      <c r="DL46" s="60"/>
      <c r="DM46" s="60"/>
      <c r="DN46" s="56"/>
      <c r="DO46" s="58"/>
      <c r="DP46" s="58"/>
      <c r="DQ46" s="64"/>
      <c r="DR46" s="60"/>
      <c r="DS46" s="60"/>
      <c r="DT46" s="60"/>
      <c r="DU46" s="60"/>
      <c r="DV46" s="60"/>
      <c r="DW46" s="60"/>
      <c r="DX46" s="60"/>
      <c r="DY46" s="60"/>
      <c r="DZ46" s="60"/>
      <c r="EA46" s="60"/>
      <c r="EB46" s="60"/>
      <c r="EC46" s="62"/>
      <c r="ED46" s="62"/>
      <c r="EE46" s="60"/>
      <c r="EF46" s="60"/>
      <c r="EG46" s="60"/>
      <c r="EH46" s="56"/>
      <c r="EI46" s="58"/>
      <c r="EJ46" s="58"/>
      <c r="EK46" s="64"/>
      <c r="EL46" s="60"/>
      <c r="EM46" s="60"/>
      <c r="EN46" s="60"/>
      <c r="EO46" s="60"/>
      <c r="EP46" s="60"/>
      <c r="EQ46" s="60"/>
      <c r="ER46" s="60"/>
      <c r="ES46" s="60"/>
      <c r="ET46" s="60"/>
      <c r="EU46" s="60"/>
      <c r="EV46" s="60"/>
      <c r="EW46" s="60"/>
      <c r="EX46" s="60"/>
      <c r="EY46" s="60"/>
      <c r="EZ46" s="60"/>
      <c r="FA46" s="60"/>
      <c r="FB46" s="56"/>
      <c r="FC46" s="64"/>
      <c r="FD46" s="64"/>
      <c r="FE46" s="64"/>
      <c r="FF46" s="60"/>
      <c r="FG46" s="60"/>
      <c r="FH46" s="60"/>
      <c r="FI46" s="60"/>
      <c r="FJ46" s="60"/>
      <c r="FK46" s="60"/>
      <c r="FL46" s="60"/>
      <c r="FM46" s="60"/>
      <c r="FN46" s="60"/>
      <c r="FO46" s="60"/>
      <c r="FP46" s="60"/>
      <c r="FQ46" s="60"/>
      <c r="FR46" s="60"/>
      <c r="FS46" s="60"/>
      <c r="FT46" s="60"/>
      <c r="FU46" s="60"/>
      <c r="FV46" s="56"/>
      <c r="FW46" s="64"/>
      <c r="FX46" s="64"/>
      <c r="FY46" s="64"/>
      <c r="FZ46" s="60"/>
      <c r="GA46" s="60"/>
      <c r="GB46" s="60"/>
      <c r="GC46" s="60"/>
      <c r="GD46" s="60"/>
      <c r="GE46" s="60"/>
      <c r="GF46" s="60"/>
      <c r="GG46" s="60"/>
      <c r="GH46" s="60"/>
      <c r="GI46" s="60"/>
      <c r="GJ46" s="60"/>
      <c r="GK46" s="60"/>
      <c r="GL46" s="60"/>
      <c r="GM46" s="60"/>
      <c r="GN46" s="60"/>
      <c r="GO46" s="60"/>
      <c r="GP46" s="56"/>
      <c r="GQ46" s="64"/>
      <c r="GR46" s="64"/>
      <c r="GS46" s="64"/>
      <c r="GT46" s="60"/>
      <c r="GU46" s="60"/>
      <c r="GV46" s="60"/>
      <c r="GW46" s="60"/>
      <c r="GX46" s="60"/>
      <c r="GY46" s="60"/>
      <c r="GZ46" s="62"/>
      <c r="HA46" s="62"/>
      <c r="HB46" s="62"/>
      <c r="HC46" s="62"/>
      <c r="HD46" s="62"/>
      <c r="HE46" s="62"/>
      <c r="HF46" s="62"/>
      <c r="HG46" s="62"/>
      <c r="HH46" s="62"/>
      <c r="HI46" s="62"/>
      <c r="HJ46" s="56"/>
      <c r="HK46" s="58"/>
      <c r="HL46" s="58"/>
      <c r="HM46" s="58"/>
      <c r="HN46" s="62"/>
      <c r="HO46" s="62"/>
      <c r="HP46" s="62"/>
      <c r="HQ46" s="62"/>
      <c r="HR46" s="62"/>
      <c r="HS46" s="62"/>
      <c r="HT46" s="62"/>
      <c r="HU46" s="62"/>
      <c r="HV46" s="62"/>
      <c r="HW46" s="62"/>
      <c r="HX46" s="62"/>
      <c r="HY46" s="62"/>
      <c r="HZ46" s="62"/>
      <c r="IA46" s="62"/>
      <c r="IB46" s="62"/>
      <c r="IC46" s="62"/>
      <c r="ID46" s="4"/>
      <c r="IF46" s="23"/>
      <c r="IG46" s="28"/>
      <c r="IH46" s="30" t="s">
        <v>95</v>
      </c>
      <c r="II46" s="29">
        <f t="shared" si="11"/>
        <v>1</v>
      </c>
      <c r="IJ46" s="29" t="str">
        <f t="shared" si="13"/>
        <v>Color1</v>
      </c>
      <c r="IK46" s="8">
        <f t="shared" si="12"/>
        <v>5</v>
      </c>
      <c r="IL46" s="23"/>
    </row>
    <row r="47" spans="1:246" x14ac:dyDescent="0.15">
      <c r="A47" s="227"/>
      <c r="B47" s="6" t="s">
        <v>45</v>
      </c>
      <c r="C47" s="7" t="str">
        <f t="shared" si="5"/>
        <v>*</v>
      </c>
      <c r="D47" s="91" t="s">
        <v>198</v>
      </c>
      <c r="E47" s="103" t="s">
        <v>182</v>
      </c>
      <c r="F47" s="93">
        <v>44837</v>
      </c>
      <c r="G47" s="94">
        <v>2</v>
      </c>
      <c r="H47" s="94">
        <v>30</v>
      </c>
      <c r="I47" s="95">
        <v>30</v>
      </c>
      <c r="J47" s="96"/>
      <c r="K47" s="146" t="s">
        <v>197</v>
      </c>
      <c r="L47" s="158">
        <v>44865</v>
      </c>
      <c r="M47" s="159">
        <v>1</v>
      </c>
      <c r="N47" s="159">
        <v>0</v>
      </c>
      <c r="O47" s="160">
        <v>300</v>
      </c>
      <c r="P47" s="169">
        <v>100</v>
      </c>
      <c r="Q47" s="21"/>
      <c r="R47" s="56"/>
      <c r="S47" s="58"/>
      <c r="T47" s="58"/>
      <c r="U47" s="58"/>
      <c r="V47" s="64"/>
      <c r="W47" s="60"/>
      <c r="X47" s="60"/>
      <c r="Y47" s="60"/>
      <c r="Z47" s="60"/>
      <c r="AA47" s="60"/>
      <c r="AB47" s="60"/>
      <c r="AC47" s="60"/>
      <c r="AD47" s="60"/>
      <c r="AE47" s="60"/>
      <c r="AF47" s="60"/>
      <c r="AG47" s="62"/>
      <c r="AH47" s="62"/>
      <c r="AI47" s="60"/>
      <c r="AJ47" s="60"/>
      <c r="AK47" s="60"/>
      <c r="AL47" s="56"/>
      <c r="AM47" s="58"/>
      <c r="AN47" s="58"/>
      <c r="AO47" s="58"/>
      <c r="AP47" s="62"/>
      <c r="AQ47" s="62"/>
      <c r="AR47" s="62"/>
      <c r="AS47" s="62"/>
      <c r="AT47" s="62"/>
      <c r="AU47" s="62"/>
      <c r="AV47" s="60"/>
      <c r="AW47" s="60"/>
      <c r="AX47" s="60"/>
      <c r="AY47" s="60"/>
      <c r="AZ47" s="60"/>
      <c r="BA47" s="60"/>
      <c r="BB47" s="60"/>
      <c r="BC47" s="60"/>
      <c r="BD47" s="60"/>
      <c r="BE47" s="60"/>
      <c r="BF47" s="56"/>
      <c r="BG47" s="58"/>
      <c r="BH47" s="58"/>
      <c r="BI47" s="58"/>
      <c r="BJ47" s="62"/>
      <c r="BK47" s="60"/>
      <c r="BL47" s="60"/>
      <c r="BM47" s="60"/>
      <c r="BN47" s="60"/>
      <c r="BO47" s="60"/>
      <c r="BP47" s="60"/>
      <c r="BQ47" s="60"/>
      <c r="BR47" s="60"/>
      <c r="BS47" s="60"/>
      <c r="BT47" s="60"/>
      <c r="BU47" s="60"/>
      <c r="BV47" s="60"/>
      <c r="BW47" s="60"/>
      <c r="BX47" s="60"/>
      <c r="BY47" s="60"/>
      <c r="BZ47" s="56"/>
      <c r="CA47" s="58"/>
      <c r="CB47" s="58"/>
      <c r="CC47" s="64"/>
      <c r="CD47" s="64"/>
      <c r="CE47" s="60"/>
      <c r="CF47" s="60"/>
      <c r="CG47" s="60"/>
      <c r="CH47" s="60"/>
      <c r="CI47" s="60"/>
      <c r="CJ47" s="60"/>
      <c r="CK47" s="60"/>
      <c r="CL47" s="60"/>
      <c r="CM47" s="60"/>
      <c r="CN47" s="60"/>
      <c r="CO47" s="60"/>
      <c r="CP47" s="60"/>
      <c r="CQ47" s="60"/>
      <c r="CR47" s="60"/>
      <c r="CS47" s="60"/>
      <c r="CT47" s="56"/>
      <c r="CU47" s="64"/>
      <c r="CV47" s="64"/>
      <c r="CW47" s="64"/>
      <c r="CX47" s="64"/>
      <c r="CY47" s="60"/>
      <c r="CZ47" s="60"/>
      <c r="DA47" s="60"/>
      <c r="DB47" s="60"/>
      <c r="DC47" s="60"/>
      <c r="DD47" s="60"/>
      <c r="DE47" s="60"/>
      <c r="DF47" s="60"/>
      <c r="DG47" s="60"/>
      <c r="DH47" s="60"/>
      <c r="DI47" s="60"/>
      <c r="DJ47" s="60"/>
      <c r="DK47" s="60"/>
      <c r="DL47" s="60"/>
      <c r="DM47" s="60"/>
      <c r="DN47" s="56"/>
      <c r="DO47" s="58"/>
      <c r="DP47" s="58"/>
      <c r="DQ47" s="64"/>
      <c r="DR47" s="60"/>
      <c r="DS47" s="60"/>
      <c r="DT47" s="60"/>
      <c r="DU47" s="60"/>
      <c r="DV47" s="60"/>
      <c r="DW47" s="60"/>
      <c r="DX47" s="60"/>
      <c r="DY47" s="60"/>
      <c r="DZ47" s="60"/>
      <c r="EA47" s="60"/>
      <c r="EB47" s="60"/>
      <c r="EC47" s="62"/>
      <c r="ED47" s="62"/>
      <c r="EE47" s="60"/>
      <c r="EF47" s="60"/>
      <c r="EG47" s="60"/>
      <c r="EH47" s="56"/>
      <c r="EI47" s="58"/>
      <c r="EJ47" s="58"/>
      <c r="EK47" s="64"/>
      <c r="EL47" s="60"/>
      <c r="EM47" s="60"/>
      <c r="EN47" s="60"/>
      <c r="EO47" s="60"/>
      <c r="EP47" s="60"/>
      <c r="EQ47" s="60"/>
      <c r="ER47" s="60"/>
      <c r="ES47" s="60"/>
      <c r="ET47" s="60"/>
      <c r="EU47" s="60"/>
      <c r="EV47" s="60"/>
      <c r="EW47" s="60"/>
      <c r="EX47" s="60"/>
      <c r="EY47" s="60"/>
      <c r="EZ47" s="60"/>
      <c r="FA47" s="60"/>
      <c r="FB47" s="56"/>
      <c r="FC47" s="64"/>
      <c r="FD47" s="64"/>
      <c r="FE47" s="64"/>
      <c r="FF47" s="60"/>
      <c r="FG47" s="60"/>
      <c r="FH47" s="60"/>
      <c r="FI47" s="60"/>
      <c r="FJ47" s="60"/>
      <c r="FK47" s="60"/>
      <c r="FL47" s="60"/>
      <c r="FM47" s="60"/>
      <c r="FN47" s="60"/>
      <c r="FO47" s="60"/>
      <c r="FP47" s="60"/>
      <c r="FQ47" s="60"/>
      <c r="FR47" s="60"/>
      <c r="FS47" s="60"/>
      <c r="FT47" s="60"/>
      <c r="FU47" s="60"/>
      <c r="FV47" s="56"/>
      <c r="FW47" s="64"/>
      <c r="FX47" s="64"/>
      <c r="FY47" s="64"/>
      <c r="FZ47" s="60"/>
      <c r="GA47" s="60"/>
      <c r="GB47" s="60"/>
      <c r="GC47" s="60"/>
      <c r="GD47" s="60"/>
      <c r="GE47" s="60"/>
      <c r="GF47" s="60"/>
      <c r="GG47" s="60"/>
      <c r="GH47" s="60"/>
      <c r="GI47" s="60"/>
      <c r="GJ47" s="60"/>
      <c r="GK47" s="60"/>
      <c r="GL47" s="60"/>
      <c r="GM47" s="60"/>
      <c r="GN47" s="60"/>
      <c r="GO47" s="60"/>
      <c r="GP47" s="56"/>
      <c r="GQ47" s="64"/>
      <c r="GR47" s="64"/>
      <c r="GS47" s="64"/>
      <c r="GT47" s="60"/>
      <c r="GU47" s="60"/>
      <c r="GV47" s="60"/>
      <c r="GW47" s="60"/>
      <c r="GX47" s="60"/>
      <c r="GY47" s="60"/>
      <c r="GZ47" s="62"/>
      <c r="HA47" s="62"/>
      <c r="HB47" s="62"/>
      <c r="HC47" s="62"/>
      <c r="HD47" s="62"/>
      <c r="HE47" s="62"/>
      <c r="HF47" s="62"/>
      <c r="HG47" s="62"/>
      <c r="HH47" s="62"/>
      <c r="HI47" s="62"/>
      <c r="HJ47" s="56"/>
      <c r="HK47" s="58"/>
      <c r="HL47" s="58"/>
      <c r="HM47" s="58"/>
      <c r="HN47" s="62"/>
      <c r="HO47" s="62"/>
      <c r="HP47" s="62"/>
      <c r="HQ47" s="62"/>
      <c r="HR47" s="62"/>
      <c r="HS47" s="62"/>
      <c r="HT47" s="62"/>
      <c r="HU47" s="62"/>
      <c r="HV47" s="62"/>
      <c r="HW47" s="62"/>
      <c r="HX47" s="62"/>
      <c r="HY47" s="62"/>
      <c r="HZ47" s="62"/>
      <c r="IA47" s="62"/>
      <c r="IB47" s="62"/>
      <c r="IC47" s="62"/>
      <c r="ID47" s="4"/>
      <c r="IF47" s="23"/>
      <c r="IG47" s="28"/>
      <c r="IH47" s="30" t="s">
        <v>95</v>
      </c>
      <c r="II47" s="29">
        <f t="shared" si="11"/>
        <v>2</v>
      </c>
      <c r="IJ47" s="29" t="str">
        <f t="shared" si="13"/>
        <v>Color2</v>
      </c>
      <c r="IK47" s="8">
        <f t="shared" si="12"/>
        <v>300</v>
      </c>
      <c r="IL47" s="23"/>
    </row>
    <row r="48" spans="1:246" ht="14.25" thickBot="1" x14ac:dyDescent="0.2">
      <c r="A48" s="228"/>
      <c r="B48" s="74" t="s">
        <v>46</v>
      </c>
      <c r="C48" s="75" t="str">
        <f t="shared" si="5"/>
        <v/>
      </c>
      <c r="D48" s="91"/>
      <c r="E48" s="105"/>
      <c r="F48" s="106"/>
      <c r="G48" s="94"/>
      <c r="H48" s="107"/>
      <c r="I48" s="108"/>
      <c r="J48" s="109"/>
      <c r="K48" s="149" t="s">
        <v>105</v>
      </c>
      <c r="L48" s="161"/>
      <c r="M48" s="159"/>
      <c r="N48" s="162"/>
      <c r="O48" s="163"/>
      <c r="P48" s="170"/>
      <c r="Q48" s="76"/>
      <c r="R48" s="77"/>
      <c r="S48" s="78"/>
      <c r="T48" s="78"/>
      <c r="U48" s="78"/>
      <c r="V48" s="81"/>
      <c r="W48" s="79"/>
      <c r="X48" s="79"/>
      <c r="Y48" s="79"/>
      <c r="Z48" s="79"/>
      <c r="AA48" s="79"/>
      <c r="AB48" s="79"/>
      <c r="AC48" s="79"/>
      <c r="AD48" s="79"/>
      <c r="AE48" s="79"/>
      <c r="AF48" s="79"/>
      <c r="AG48" s="80"/>
      <c r="AH48" s="80"/>
      <c r="AI48" s="79"/>
      <c r="AJ48" s="79"/>
      <c r="AK48" s="79"/>
      <c r="AL48" s="77"/>
      <c r="AM48" s="78"/>
      <c r="AN48" s="78"/>
      <c r="AO48" s="78"/>
      <c r="AP48" s="80"/>
      <c r="AQ48" s="80"/>
      <c r="AR48" s="80"/>
      <c r="AS48" s="80"/>
      <c r="AT48" s="80"/>
      <c r="AU48" s="80"/>
      <c r="AV48" s="79"/>
      <c r="AW48" s="79"/>
      <c r="AX48" s="79"/>
      <c r="AY48" s="79"/>
      <c r="AZ48" s="79"/>
      <c r="BA48" s="79"/>
      <c r="BB48" s="79"/>
      <c r="BC48" s="79"/>
      <c r="BD48" s="79"/>
      <c r="BE48" s="79"/>
      <c r="BF48" s="77"/>
      <c r="BG48" s="78"/>
      <c r="BH48" s="78"/>
      <c r="BI48" s="78"/>
      <c r="BJ48" s="80"/>
      <c r="BK48" s="79"/>
      <c r="BL48" s="79"/>
      <c r="BM48" s="79"/>
      <c r="BN48" s="79"/>
      <c r="BO48" s="79"/>
      <c r="BP48" s="79"/>
      <c r="BQ48" s="79"/>
      <c r="BR48" s="79"/>
      <c r="BS48" s="79"/>
      <c r="BT48" s="79"/>
      <c r="BU48" s="79"/>
      <c r="BV48" s="79"/>
      <c r="BW48" s="79"/>
      <c r="BX48" s="79"/>
      <c r="BY48" s="79"/>
      <c r="BZ48" s="77"/>
      <c r="CA48" s="78"/>
      <c r="CB48" s="78"/>
      <c r="CC48" s="81"/>
      <c r="CD48" s="81"/>
      <c r="CE48" s="79"/>
      <c r="CF48" s="79"/>
      <c r="CG48" s="79"/>
      <c r="CH48" s="79"/>
      <c r="CI48" s="79"/>
      <c r="CJ48" s="79"/>
      <c r="CK48" s="79"/>
      <c r="CL48" s="79"/>
      <c r="CM48" s="79"/>
      <c r="CN48" s="79"/>
      <c r="CO48" s="79"/>
      <c r="CP48" s="79"/>
      <c r="CQ48" s="79"/>
      <c r="CR48" s="79"/>
      <c r="CS48" s="79"/>
      <c r="CT48" s="77"/>
      <c r="CU48" s="81"/>
      <c r="CV48" s="81"/>
      <c r="CW48" s="81"/>
      <c r="CX48" s="81"/>
      <c r="CY48" s="79"/>
      <c r="CZ48" s="79"/>
      <c r="DA48" s="79"/>
      <c r="DB48" s="79"/>
      <c r="DC48" s="79"/>
      <c r="DD48" s="79"/>
      <c r="DE48" s="79"/>
      <c r="DF48" s="79"/>
      <c r="DG48" s="79"/>
      <c r="DH48" s="79"/>
      <c r="DI48" s="79"/>
      <c r="DJ48" s="79"/>
      <c r="DK48" s="79"/>
      <c r="DL48" s="79"/>
      <c r="DM48" s="79"/>
      <c r="DN48" s="77"/>
      <c r="DO48" s="78"/>
      <c r="DP48" s="78"/>
      <c r="DQ48" s="81"/>
      <c r="DR48" s="79"/>
      <c r="DS48" s="79"/>
      <c r="DT48" s="79"/>
      <c r="DU48" s="79"/>
      <c r="DV48" s="79"/>
      <c r="DW48" s="79"/>
      <c r="DX48" s="79"/>
      <c r="DY48" s="79"/>
      <c r="DZ48" s="79"/>
      <c r="EA48" s="79"/>
      <c r="EB48" s="79"/>
      <c r="EC48" s="80"/>
      <c r="ED48" s="80"/>
      <c r="EE48" s="79"/>
      <c r="EF48" s="79"/>
      <c r="EG48" s="79"/>
      <c r="EH48" s="77"/>
      <c r="EI48" s="78"/>
      <c r="EJ48" s="78"/>
      <c r="EK48" s="81"/>
      <c r="EL48" s="79"/>
      <c r="EM48" s="79"/>
      <c r="EN48" s="79"/>
      <c r="EO48" s="79"/>
      <c r="EP48" s="79"/>
      <c r="EQ48" s="79"/>
      <c r="ER48" s="79"/>
      <c r="ES48" s="79"/>
      <c r="ET48" s="79"/>
      <c r="EU48" s="79"/>
      <c r="EV48" s="79"/>
      <c r="EW48" s="79"/>
      <c r="EX48" s="79"/>
      <c r="EY48" s="79"/>
      <c r="EZ48" s="79"/>
      <c r="FA48" s="79"/>
      <c r="FB48" s="77"/>
      <c r="FC48" s="81"/>
      <c r="FD48" s="81"/>
      <c r="FE48" s="81"/>
      <c r="FF48" s="79"/>
      <c r="FG48" s="79"/>
      <c r="FH48" s="79"/>
      <c r="FI48" s="79"/>
      <c r="FJ48" s="79"/>
      <c r="FK48" s="79"/>
      <c r="FL48" s="79"/>
      <c r="FM48" s="79"/>
      <c r="FN48" s="79"/>
      <c r="FO48" s="79"/>
      <c r="FP48" s="79"/>
      <c r="FQ48" s="79"/>
      <c r="FR48" s="79"/>
      <c r="FS48" s="79"/>
      <c r="FT48" s="79"/>
      <c r="FU48" s="79"/>
      <c r="FV48" s="77"/>
      <c r="FW48" s="81"/>
      <c r="FX48" s="81"/>
      <c r="FY48" s="81"/>
      <c r="FZ48" s="79"/>
      <c r="GA48" s="79"/>
      <c r="GB48" s="79"/>
      <c r="GC48" s="79"/>
      <c r="GD48" s="79"/>
      <c r="GE48" s="79"/>
      <c r="GF48" s="79"/>
      <c r="GG48" s="79"/>
      <c r="GH48" s="79"/>
      <c r="GI48" s="79"/>
      <c r="GJ48" s="79"/>
      <c r="GK48" s="79"/>
      <c r="GL48" s="79"/>
      <c r="GM48" s="79"/>
      <c r="GN48" s="79"/>
      <c r="GO48" s="79"/>
      <c r="GP48" s="77"/>
      <c r="GQ48" s="81"/>
      <c r="GR48" s="81"/>
      <c r="GS48" s="81"/>
      <c r="GT48" s="79"/>
      <c r="GU48" s="79"/>
      <c r="GV48" s="79"/>
      <c r="GW48" s="79"/>
      <c r="GX48" s="79"/>
      <c r="GY48" s="79"/>
      <c r="GZ48" s="80"/>
      <c r="HA48" s="80"/>
      <c r="HB48" s="80"/>
      <c r="HC48" s="80"/>
      <c r="HD48" s="80"/>
      <c r="HE48" s="80"/>
      <c r="HF48" s="80"/>
      <c r="HG48" s="80"/>
      <c r="HH48" s="80"/>
      <c r="HI48" s="80"/>
      <c r="HJ48" s="77"/>
      <c r="HK48" s="78"/>
      <c r="HL48" s="78"/>
      <c r="HM48" s="78"/>
      <c r="HN48" s="80"/>
      <c r="HO48" s="80"/>
      <c r="HP48" s="80"/>
      <c r="HQ48" s="80"/>
      <c r="HR48" s="80"/>
      <c r="HS48" s="80"/>
      <c r="HT48" s="80"/>
      <c r="HU48" s="80"/>
      <c r="HV48" s="80"/>
      <c r="HW48" s="80"/>
      <c r="HX48" s="80"/>
      <c r="HY48" s="80"/>
      <c r="HZ48" s="80"/>
      <c r="IA48" s="80"/>
      <c r="IB48" s="80"/>
      <c r="IC48" s="80"/>
      <c r="ID48" s="82"/>
      <c r="IF48" s="23"/>
      <c r="IG48" s="28"/>
      <c r="IH48" s="30" t="s">
        <v>95</v>
      </c>
      <c r="II48" s="29" t="str">
        <f t="shared" si="11"/>
        <v/>
      </c>
      <c r="IJ48" s="29" t="str">
        <f t="shared" si="13"/>
        <v>ColorNone</v>
      </c>
      <c r="IK48" s="9">
        <f t="shared" si="12"/>
        <v>0</v>
      </c>
      <c r="IL48" s="23"/>
    </row>
    <row r="49" spans="1:246" ht="2.25" customHeight="1" thickBot="1" x14ac:dyDescent="0.2">
      <c r="A49" s="73"/>
      <c r="B49" s="72"/>
      <c r="C49" s="71"/>
      <c r="D49" s="92"/>
      <c r="E49" s="92"/>
      <c r="F49" s="99"/>
      <c r="G49" s="100"/>
      <c r="H49" s="101"/>
      <c r="I49" s="102"/>
      <c r="J49" s="100"/>
      <c r="K49" s="148"/>
      <c r="L49" s="99"/>
      <c r="M49" s="100"/>
      <c r="N49" s="100"/>
      <c r="O49" s="102"/>
      <c r="P49" s="168"/>
      <c r="Q49" s="22"/>
      <c r="R49" s="56"/>
      <c r="S49" s="58"/>
      <c r="T49" s="58"/>
      <c r="U49" s="58"/>
      <c r="V49" s="64"/>
      <c r="W49" s="60"/>
      <c r="X49" s="60"/>
      <c r="Y49" s="60"/>
      <c r="Z49" s="60"/>
      <c r="AA49" s="60"/>
      <c r="AB49" s="60"/>
      <c r="AC49" s="60"/>
      <c r="AD49" s="60"/>
      <c r="AE49" s="60"/>
      <c r="AF49" s="60"/>
      <c r="AG49" s="62"/>
      <c r="AH49" s="62"/>
      <c r="AI49" s="60"/>
      <c r="AJ49" s="60"/>
      <c r="AK49" s="60"/>
      <c r="AL49" s="56"/>
      <c r="AM49" s="58"/>
      <c r="AN49" s="58"/>
      <c r="AO49" s="58"/>
      <c r="AP49" s="62"/>
      <c r="AQ49" s="62"/>
      <c r="AR49" s="62"/>
      <c r="AS49" s="62"/>
      <c r="AT49" s="62"/>
      <c r="AU49" s="62"/>
      <c r="AV49" s="60"/>
      <c r="AW49" s="60"/>
      <c r="AX49" s="60"/>
      <c r="AY49" s="60"/>
      <c r="AZ49" s="60"/>
      <c r="BA49" s="60"/>
      <c r="BB49" s="60"/>
      <c r="BC49" s="60"/>
      <c r="BD49" s="60"/>
      <c r="BE49" s="60"/>
      <c r="BF49" s="56"/>
      <c r="BG49" s="58"/>
      <c r="BH49" s="58"/>
      <c r="BI49" s="58"/>
      <c r="BJ49" s="62"/>
      <c r="BK49" s="60"/>
      <c r="BL49" s="60"/>
      <c r="BM49" s="60"/>
      <c r="BN49" s="60"/>
      <c r="BO49" s="60"/>
      <c r="BP49" s="60"/>
      <c r="BQ49" s="60"/>
      <c r="BR49" s="60"/>
      <c r="BS49" s="60"/>
      <c r="BT49" s="60"/>
      <c r="BU49" s="60"/>
      <c r="BV49" s="60"/>
      <c r="BW49" s="60"/>
      <c r="BX49" s="60"/>
      <c r="BY49" s="60"/>
      <c r="BZ49" s="56"/>
      <c r="CA49" s="58"/>
      <c r="CB49" s="58"/>
      <c r="CC49" s="64"/>
      <c r="CD49" s="64"/>
      <c r="CE49" s="60"/>
      <c r="CF49" s="60"/>
      <c r="CG49" s="60"/>
      <c r="CH49" s="60"/>
      <c r="CI49" s="60"/>
      <c r="CJ49" s="60"/>
      <c r="CK49" s="60"/>
      <c r="CL49" s="60"/>
      <c r="CM49" s="60"/>
      <c r="CN49" s="60"/>
      <c r="CO49" s="60"/>
      <c r="CP49" s="60"/>
      <c r="CQ49" s="60"/>
      <c r="CR49" s="60"/>
      <c r="CS49" s="60"/>
      <c r="CT49" s="56"/>
      <c r="CU49" s="64"/>
      <c r="CV49" s="64"/>
      <c r="CW49" s="64"/>
      <c r="CX49" s="64"/>
      <c r="CY49" s="60"/>
      <c r="CZ49" s="60"/>
      <c r="DA49" s="60"/>
      <c r="DB49" s="60"/>
      <c r="DC49" s="60"/>
      <c r="DD49" s="60"/>
      <c r="DE49" s="60"/>
      <c r="DF49" s="60"/>
      <c r="DG49" s="60"/>
      <c r="DH49" s="60"/>
      <c r="DI49" s="60"/>
      <c r="DJ49" s="60"/>
      <c r="DK49" s="60"/>
      <c r="DL49" s="60"/>
      <c r="DM49" s="60"/>
      <c r="DN49" s="56"/>
      <c r="DO49" s="58"/>
      <c r="DP49" s="58"/>
      <c r="DQ49" s="64"/>
      <c r="DR49" s="60"/>
      <c r="DS49" s="60"/>
      <c r="DT49" s="60"/>
      <c r="DU49" s="60"/>
      <c r="DV49" s="60"/>
      <c r="DW49" s="60"/>
      <c r="DX49" s="60"/>
      <c r="DY49" s="60"/>
      <c r="DZ49" s="60"/>
      <c r="EA49" s="60"/>
      <c r="EB49" s="60"/>
      <c r="EC49" s="62"/>
      <c r="ED49" s="62"/>
      <c r="EE49" s="60"/>
      <c r="EF49" s="60"/>
      <c r="EG49" s="60"/>
      <c r="EH49" s="56"/>
      <c r="EI49" s="58"/>
      <c r="EJ49" s="58"/>
      <c r="EK49" s="64"/>
      <c r="EL49" s="60"/>
      <c r="EM49" s="60"/>
      <c r="EN49" s="60"/>
      <c r="EO49" s="60"/>
      <c r="EP49" s="60"/>
      <c r="EQ49" s="60"/>
      <c r="ER49" s="60"/>
      <c r="ES49" s="60"/>
      <c r="ET49" s="60"/>
      <c r="EU49" s="60"/>
      <c r="EV49" s="60"/>
      <c r="EW49" s="60"/>
      <c r="EX49" s="60"/>
      <c r="EY49" s="60"/>
      <c r="EZ49" s="60"/>
      <c r="FA49" s="60"/>
      <c r="FB49" s="56"/>
      <c r="FC49" s="64"/>
      <c r="FD49" s="64"/>
      <c r="FE49" s="64"/>
      <c r="FF49" s="60"/>
      <c r="FG49" s="60"/>
      <c r="FH49" s="60"/>
      <c r="FI49" s="60"/>
      <c r="FJ49" s="60"/>
      <c r="FK49" s="60"/>
      <c r="FL49" s="60"/>
      <c r="FM49" s="60"/>
      <c r="FN49" s="60"/>
      <c r="FO49" s="60"/>
      <c r="FP49" s="60"/>
      <c r="FQ49" s="60"/>
      <c r="FR49" s="60"/>
      <c r="FS49" s="60"/>
      <c r="FT49" s="60"/>
      <c r="FU49" s="60"/>
      <c r="FV49" s="56"/>
      <c r="FW49" s="64"/>
      <c r="FX49" s="64"/>
      <c r="FY49" s="64"/>
      <c r="FZ49" s="60"/>
      <c r="GA49" s="60"/>
      <c r="GB49" s="60"/>
      <c r="GC49" s="60"/>
      <c r="GD49" s="60"/>
      <c r="GE49" s="60"/>
      <c r="GF49" s="60"/>
      <c r="GG49" s="60"/>
      <c r="GH49" s="60"/>
      <c r="GI49" s="60"/>
      <c r="GJ49" s="60"/>
      <c r="GK49" s="60"/>
      <c r="GL49" s="60"/>
      <c r="GM49" s="60"/>
      <c r="GN49" s="60"/>
      <c r="GO49" s="60"/>
      <c r="GP49" s="56"/>
      <c r="GQ49" s="64"/>
      <c r="GR49" s="64"/>
      <c r="GS49" s="64"/>
      <c r="GT49" s="60"/>
      <c r="GU49" s="60"/>
      <c r="GV49" s="60"/>
      <c r="GW49" s="60"/>
      <c r="GX49" s="60"/>
      <c r="GY49" s="60"/>
      <c r="GZ49" s="62"/>
      <c r="HA49" s="62"/>
      <c r="HB49" s="62"/>
      <c r="HC49" s="62"/>
      <c r="HD49" s="62"/>
      <c r="HE49" s="62"/>
      <c r="HF49" s="62"/>
      <c r="HG49" s="62"/>
      <c r="HH49" s="62"/>
      <c r="HI49" s="62"/>
      <c r="HJ49" s="56"/>
      <c r="HK49" s="58"/>
      <c r="HL49" s="58"/>
      <c r="HM49" s="58"/>
      <c r="HN49" s="62"/>
      <c r="HO49" s="62"/>
      <c r="HP49" s="62"/>
      <c r="HQ49" s="62"/>
      <c r="HR49" s="62"/>
      <c r="HS49" s="62"/>
      <c r="HT49" s="62"/>
      <c r="HU49" s="62"/>
      <c r="HV49" s="62"/>
      <c r="HW49" s="62"/>
      <c r="HX49" s="62"/>
      <c r="HY49" s="62"/>
      <c r="HZ49" s="62"/>
      <c r="IA49" s="62"/>
      <c r="IB49" s="62"/>
      <c r="IC49" s="62"/>
      <c r="ID49" s="4"/>
      <c r="IF49" s="23"/>
      <c r="IG49" s="28"/>
      <c r="IH49" s="28"/>
      <c r="II49" s="29"/>
      <c r="IJ49" s="121"/>
      <c r="IK49" s="70"/>
      <c r="IL49" s="23"/>
    </row>
    <row r="50" spans="1:246" ht="14.25" thickBot="1" x14ac:dyDescent="0.2">
      <c r="A50" s="222" t="s">
        <v>74</v>
      </c>
      <c r="B50" s="83" t="s">
        <v>14</v>
      </c>
      <c r="C50" s="69" t="str">
        <f>IF(P50=100,"*","")</f>
        <v>*</v>
      </c>
      <c r="D50" s="110" t="s">
        <v>199</v>
      </c>
      <c r="E50" s="111" t="s">
        <v>186</v>
      </c>
      <c r="F50" s="112">
        <v>44851</v>
      </c>
      <c r="G50" s="113">
        <v>2</v>
      </c>
      <c r="H50" s="113">
        <v>20</v>
      </c>
      <c r="I50" s="114">
        <v>150</v>
      </c>
      <c r="J50" s="115"/>
      <c r="K50" s="176" t="s">
        <v>167</v>
      </c>
      <c r="L50" s="164">
        <v>44851</v>
      </c>
      <c r="M50" s="165">
        <v>2</v>
      </c>
      <c r="N50" s="165">
        <v>20</v>
      </c>
      <c r="O50" s="166">
        <v>300</v>
      </c>
      <c r="P50" s="171">
        <v>100</v>
      </c>
      <c r="Q50" s="84"/>
      <c r="R50" s="85"/>
      <c r="S50" s="86"/>
      <c r="T50" s="86"/>
      <c r="U50" s="86"/>
      <c r="V50" s="89"/>
      <c r="W50" s="87"/>
      <c r="X50" s="87"/>
      <c r="Y50" s="87"/>
      <c r="Z50" s="87"/>
      <c r="AA50" s="87"/>
      <c r="AB50" s="87"/>
      <c r="AC50" s="87"/>
      <c r="AD50" s="87"/>
      <c r="AE50" s="87"/>
      <c r="AF50" s="87"/>
      <c r="AG50" s="88"/>
      <c r="AH50" s="88"/>
      <c r="AI50" s="87"/>
      <c r="AJ50" s="87"/>
      <c r="AK50" s="87"/>
      <c r="AL50" s="85"/>
      <c r="AM50" s="86"/>
      <c r="AN50" s="86"/>
      <c r="AO50" s="86"/>
      <c r="AP50" s="88"/>
      <c r="AQ50" s="88"/>
      <c r="AR50" s="88"/>
      <c r="AS50" s="88"/>
      <c r="AT50" s="88"/>
      <c r="AU50" s="88"/>
      <c r="AV50" s="87"/>
      <c r="AW50" s="87"/>
      <c r="AX50" s="87"/>
      <c r="AY50" s="87"/>
      <c r="AZ50" s="87"/>
      <c r="BA50" s="87"/>
      <c r="BB50" s="87"/>
      <c r="BC50" s="87"/>
      <c r="BD50" s="87"/>
      <c r="BE50" s="87"/>
      <c r="BF50" s="85"/>
      <c r="BG50" s="86"/>
      <c r="BH50" s="86"/>
      <c r="BI50" s="86"/>
      <c r="BJ50" s="88"/>
      <c r="BK50" s="87"/>
      <c r="BL50" s="87"/>
      <c r="BM50" s="87"/>
      <c r="BN50" s="87"/>
      <c r="BO50" s="87"/>
      <c r="BP50" s="87"/>
      <c r="BQ50" s="87"/>
      <c r="BR50" s="87"/>
      <c r="BS50" s="87"/>
      <c r="BT50" s="87"/>
      <c r="BU50" s="87"/>
      <c r="BV50" s="87"/>
      <c r="BW50" s="87"/>
      <c r="BX50" s="87"/>
      <c r="BY50" s="87"/>
      <c r="BZ50" s="85"/>
      <c r="CA50" s="86"/>
      <c r="CB50" s="86"/>
      <c r="CC50" s="89"/>
      <c r="CD50" s="89"/>
      <c r="CE50" s="87"/>
      <c r="CF50" s="87"/>
      <c r="CG50" s="87"/>
      <c r="CH50" s="87"/>
      <c r="CI50" s="87"/>
      <c r="CJ50" s="87"/>
      <c r="CK50" s="87"/>
      <c r="CL50" s="87"/>
      <c r="CM50" s="87"/>
      <c r="CN50" s="87"/>
      <c r="CO50" s="87"/>
      <c r="CP50" s="87"/>
      <c r="CQ50" s="87"/>
      <c r="CR50" s="87"/>
      <c r="CS50" s="87"/>
      <c r="CT50" s="85"/>
      <c r="CU50" s="89"/>
      <c r="CV50" s="89"/>
      <c r="CW50" s="89"/>
      <c r="CX50" s="89"/>
      <c r="CY50" s="87"/>
      <c r="CZ50" s="87"/>
      <c r="DA50" s="87"/>
      <c r="DB50" s="87"/>
      <c r="DC50" s="87"/>
      <c r="DD50" s="87"/>
      <c r="DE50" s="87"/>
      <c r="DF50" s="87"/>
      <c r="DG50" s="87"/>
      <c r="DH50" s="87"/>
      <c r="DI50" s="87"/>
      <c r="DJ50" s="87"/>
      <c r="DK50" s="87"/>
      <c r="DL50" s="87"/>
      <c r="DM50" s="87"/>
      <c r="DN50" s="85"/>
      <c r="DO50" s="86"/>
      <c r="DP50" s="86"/>
      <c r="DQ50" s="89"/>
      <c r="DR50" s="87"/>
      <c r="DS50" s="87"/>
      <c r="DT50" s="87"/>
      <c r="DU50" s="87"/>
      <c r="DV50" s="87"/>
      <c r="DW50" s="87"/>
      <c r="DX50" s="87"/>
      <c r="DY50" s="87"/>
      <c r="DZ50" s="87"/>
      <c r="EA50" s="87"/>
      <c r="EB50" s="87"/>
      <c r="EC50" s="88"/>
      <c r="ED50" s="88"/>
      <c r="EE50" s="87"/>
      <c r="EF50" s="87"/>
      <c r="EG50" s="87"/>
      <c r="EH50" s="85"/>
      <c r="EI50" s="86"/>
      <c r="EJ50" s="86"/>
      <c r="EK50" s="89"/>
      <c r="EL50" s="87"/>
      <c r="EM50" s="87"/>
      <c r="EN50" s="87"/>
      <c r="EO50" s="87"/>
      <c r="EP50" s="87"/>
      <c r="EQ50" s="87"/>
      <c r="ER50" s="87"/>
      <c r="ES50" s="87"/>
      <c r="ET50" s="87"/>
      <c r="EU50" s="87"/>
      <c r="EV50" s="87"/>
      <c r="EW50" s="87"/>
      <c r="EX50" s="87"/>
      <c r="EY50" s="87"/>
      <c r="EZ50" s="87"/>
      <c r="FA50" s="87"/>
      <c r="FB50" s="85"/>
      <c r="FC50" s="89"/>
      <c r="FD50" s="89"/>
      <c r="FE50" s="89"/>
      <c r="FF50" s="87"/>
      <c r="FG50" s="87"/>
      <c r="FH50" s="87"/>
      <c r="FI50" s="87"/>
      <c r="FJ50" s="87"/>
      <c r="FK50" s="87"/>
      <c r="FL50" s="87"/>
      <c r="FM50" s="87"/>
      <c r="FN50" s="87"/>
      <c r="FO50" s="87"/>
      <c r="FP50" s="87"/>
      <c r="FQ50" s="87"/>
      <c r="FR50" s="87"/>
      <c r="FS50" s="87"/>
      <c r="FT50" s="87"/>
      <c r="FU50" s="87"/>
      <c r="FV50" s="85"/>
      <c r="FW50" s="89"/>
      <c r="FX50" s="89"/>
      <c r="FY50" s="89"/>
      <c r="FZ50" s="87"/>
      <c r="GA50" s="87"/>
      <c r="GB50" s="87"/>
      <c r="GC50" s="87"/>
      <c r="GD50" s="87"/>
      <c r="GE50" s="87"/>
      <c r="GF50" s="87"/>
      <c r="GG50" s="87"/>
      <c r="GH50" s="87"/>
      <c r="GI50" s="87"/>
      <c r="GJ50" s="87"/>
      <c r="GK50" s="87"/>
      <c r="GL50" s="87"/>
      <c r="GM50" s="87"/>
      <c r="GN50" s="87"/>
      <c r="GO50" s="87"/>
      <c r="GP50" s="85"/>
      <c r="GQ50" s="89"/>
      <c r="GR50" s="89"/>
      <c r="GS50" s="89"/>
      <c r="GT50" s="87"/>
      <c r="GU50" s="87"/>
      <c r="GV50" s="87"/>
      <c r="GW50" s="87"/>
      <c r="GX50" s="87"/>
      <c r="GY50" s="87"/>
      <c r="GZ50" s="88"/>
      <c r="HA50" s="88"/>
      <c r="HB50" s="88"/>
      <c r="HC50" s="88"/>
      <c r="HD50" s="88"/>
      <c r="HE50" s="88"/>
      <c r="HF50" s="88"/>
      <c r="HG50" s="88"/>
      <c r="HH50" s="88"/>
      <c r="HI50" s="88"/>
      <c r="HJ50" s="85"/>
      <c r="HK50" s="86"/>
      <c r="HL50" s="86"/>
      <c r="HM50" s="86"/>
      <c r="HN50" s="88"/>
      <c r="HO50" s="88"/>
      <c r="HP50" s="88"/>
      <c r="HQ50" s="88"/>
      <c r="HR50" s="88"/>
      <c r="HS50" s="88"/>
      <c r="HT50" s="88"/>
      <c r="HU50" s="88"/>
      <c r="HV50" s="88"/>
      <c r="HW50" s="88"/>
      <c r="HX50" s="88"/>
      <c r="HY50" s="88"/>
      <c r="HZ50" s="88"/>
      <c r="IA50" s="88"/>
      <c r="IB50" s="88"/>
      <c r="IC50" s="88"/>
      <c r="ID50" s="90"/>
      <c r="IF50" s="23"/>
      <c r="IG50" s="28"/>
      <c r="IH50" s="28" t="s">
        <v>96</v>
      </c>
      <c r="II50" s="29">
        <f t="shared" ref="II50:II59" si="14">IF(E50&lt;&gt;"",VLOOKUP(E50,$IM$12:$IN$20,2,FALSE),"")</f>
        <v>3</v>
      </c>
      <c r="IJ50" s="29" t="str">
        <f t="shared" ref="IJ50:IJ59" si="15">IF(II50&lt;&gt;"","Color"&amp;II50, "ColorNone")</f>
        <v>Color3</v>
      </c>
      <c r="IK50" s="5">
        <f t="shared" ref="IK50:IK59" si="16">IF(O50="",I50,O50)</f>
        <v>300</v>
      </c>
      <c r="IL50" s="23"/>
    </row>
    <row r="51" spans="1:246" ht="14.25" thickBot="1" x14ac:dyDescent="0.2">
      <c r="A51" s="223"/>
      <c r="B51" s="6" t="s">
        <v>15</v>
      </c>
      <c r="C51" s="7" t="str">
        <f t="shared" si="5"/>
        <v>*</v>
      </c>
      <c r="D51" s="91" t="s">
        <v>200</v>
      </c>
      <c r="E51" s="103" t="s">
        <v>190</v>
      </c>
      <c r="F51" s="93">
        <v>44851</v>
      </c>
      <c r="G51" s="113">
        <v>2</v>
      </c>
      <c r="H51" s="94">
        <v>20</v>
      </c>
      <c r="I51" s="95">
        <v>150</v>
      </c>
      <c r="J51" s="96"/>
      <c r="K51" s="146" t="s">
        <v>167</v>
      </c>
      <c r="L51" s="158">
        <v>44851</v>
      </c>
      <c r="M51" s="165">
        <v>2</v>
      </c>
      <c r="N51" s="159">
        <v>20</v>
      </c>
      <c r="O51" s="160">
        <v>300</v>
      </c>
      <c r="P51" s="169">
        <v>100</v>
      </c>
      <c r="Q51" s="21"/>
      <c r="R51" s="56"/>
      <c r="S51" s="58"/>
      <c r="T51" s="58"/>
      <c r="U51" s="58"/>
      <c r="V51" s="64"/>
      <c r="W51" s="60"/>
      <c r="X51" s="60"/>
      <c r="Y51" s="60"/>
      <c r="Z51" s="60"/>
      <c r="AA51" s="60"/>
      <c r="AB51" s="60"/>
      <c r="AC51" s="60"/>
      <c r="AD51" s="60"/>
      <c r="AE51" s="60"/>
      <c r="AF51" s="60"/>
      <c r="AG51" s="62"/>
      <c r="AH51" s="62"/>
      <c r="AI51" s="60"/>
      <c r="AJ51" s="60"/>
      <c r="AK51" s="60"/>
      <c r="AL51" s="56"/>
      <c r="AM51" s="58"/>
      <c r="AN51" s="58"/>
      <c r="AO51" s="58"/>
      <c r="AP51" s="62"/>
      <c r="AQ51" s="62"/>
      <c r="AR51" s="62"/>
      <c r="AS51" s="62"/>
      <c r="AT51" s="62"/>
      <c r="AU51" s="62"/>
      <c r="AV51" s="60"/>
      <c r="AW51" s="60"/>
      <c r="AX51" s="60"/>
      <c r="AY51" s="60"/>
      <c r="AZ51" s="60"/>
      <c r="BA51" s="60"/>
      <c r="BB51" s="60"/>
      <c r="BC51" s="60"/>
      <c r="BD51" s="60"/>
      <c r="BE51" s="60"/>
      <c r="BF51" s="56"/>
      <c r="BG51" s="58"/>
      <c r="BH51" s="58"/>
      <c r="BI51" s="58"/>
      <c r="BJ51" s="62"/>
      <c r="BK51" s="60"/>
      <c r="BL51" s="60"/>
      <c r="BM51" s="60"/>
      <c r="BN51" s="60"/>
      <c r="BO51" s="60"/>
      <c r="BP51" s="60"/>
      <c r="BQ51" s="60"/>
      <c r="BR51" s="60"/>
      <c r="BS51" s="60"/>
      <c r="BT51" s="60"/>
      <c r="BU51" s="60"/>
      <c r="BV51" s="60"/>
      <c r="BW51" s="60"/>
      <c r="BX51" s="60"/>
      <c r="BY51" s="60"/>
      <c r="BZ51" s="56"/>
      <c r="CA51" s="58"/>
      <c r="CB51" s="58"/>
      <c r="CC51" s="64"/>
      <c r="CD51" s="64"/>
      <c r="CE51" s="60"/>
      <c r="CF51" s="60"/>
      <c r="CG51" s="60"/>
      <c r="CH51" s="60"/>
      <c r="CI51" s="60"/>
      <c r="CJ51" s="60"/>
      <c r="CK51" s="60"/>
      <c r="CL51" s="60"/>
      <c r="CM51" s="60"/>
      <c r="CN51" s="60"/>
      <c r="CO51" s="60"/>
      <c r="CP51" s="60"/>
      <c r="CQ51" s="60"/>
      <c r="CR51" s="60"/>
      <c r="CS51" s="60"/>
      <c r="CT51" s="56"/>
      <c r="CU51" s="64"/>
      <c r="CV51" s="64"/>
      <c r="CW51" s="64"/>
      <c r="CX51" s="64"/>
      <c r="CY51" s="60"/>
      <c r="CZ51" s="60"/>
      <c r="DA51" s="60"/>
      <c r="DB51" s="60"/>
      <c r="DC51" s="60"/>
      <c r="DD51" s="60"/>
      <c r="DE51" s="60"/>
      <c r="DF51" s="60"/>
      <c r="DG51" s="60"/>
      <c r="DH51" s="60"/>
      <c r="DI51" s="60"/>
      <c r="DJ51" s="60"/>
      <c r="DK51" s="60"/>
      <c r="DL51" s="60"/>
      <c r="DM51" s="60"/>
      <c r="DN51" s="56"/>
      <c r="DO51" s="58"/>
      <c r="DP51" s="58"/>
      <c r="DQ51" s="64"/>
      <c r="DR51" s="60"/>
      <c r="DS51" s="60"/>
      <c r="DT51" s="60"/>
      <c r="DU51" s="60"/>
      <c r="DV51" s="60"/>
      <c r="DW51" s="60"/>
      <c r="DX51" s="60"/>
      <c r="DY51" s="60"/>
      <c r="DZ51" s="60"/>
      <c r="EA51" s="60"/>
      <c r="EB51" s="60"/>
      <c r="EC51" s="62"/>
      <c r="ED51" s="62"/>
      <c r="EE51" s="60"/>
      <c r="EF51" s="60"/>
      <c r="EG51" s="60"/>
      <c r="EH51" s="56"/>
      <c r="EI51" s="58"/>
      <c r="EJ51" s="58"/>
      <c r="EK51" s="64"/>
      <c r="EL51" s="60"/>
      <c r="EM51" s="60"/>
      <c r="EN51" s="60"/>
      <c r="EO51" s="60"/>
      <c r="EP51" s="60"/>
      <c r="EQ51" s="60"/>
      <c r="ER51" s="60"/>
      <c r="ES51" s="60"/>
      <c r="ET51" s="60"/>
      <c r="EU51" s="60"/>
      <c r="EV51" s="60"/>
      <c r="EW51" s="60"/>
      <c r="EX51" s="60"/>
      <c r="EY51" s="60"/>
      <c r="EZ51" s="60"/>
      <c r="FA51" s="60"/>
      <c r="FB51" s="56"/>
      <c r="FC51" s="64"/>
      <c r="FD51" s="64"/>
      <c r="FE51" s="64"/>
      <c r="FF51" s="60"/>
      <c r="FG51" s="60"/>
      <c r="FH51" s="60"/>
      <c r="FI51" s="60"/>
      <c r="FJ51" s="60"/>
      <c r="FK51" s="60"/>
      <c r="FL51" s="60"/>
      <c r="FM51" s="60"/>
      <c r="FN51" s="60"/>
      <c r="FO51" s="60"/>
      <c r="FP51" s="60"/>
      <c r="FQ51" s="60"/>
      <c r="FR51" s="60"/>
      <c r="FS51" s="60"/>
      <c r="FT51" s="60"/>
      <c r="FU51" s="60"/>
      <c r="FV51" s="56"/>
      <c r="FW51" s="64"/>
      <c r="FX51" s="64"/>
      <c r="FY51" s="64"/>
      <c r="FZ51" s="60"/>
      <c r="GA51" s="60"/>
      <c r="GB51" s="60"/>
      <c r="GC51" s="60"/>
      <c r="GD51" s="60"/>
      <c r="GE51" s="60"/>
      <c r="GF51" s="60"/>
      <c r="GG51" s="60"/>
      <c r="GH51" s="60"/>
      <c r="GI51" s="60"/>
      <c r="GJ51" s="60"/>
      <c r="GK51" s="60"/>
      <c r="GL51" s="60"/>
      <c r="GM51" s="60"/>
      <c r="GN51" s="60"/>
      <c r="GO51" s="60"/>
      <c r="GP51" s="56"/>
      <c r="GQ51" s="64"/>
      <c r="GR51" s="64"/>
      <c r="GS51" s="64"/>
      <c r="GT51" s="60"/>
      <c r="GU51" s="60"/>
      <c r="GV51" s="60"/>
      <c r="GW51" s="60"/>
      <c r="GX51" s="60"/>
      <c r="GY51" s="60"/>
      <c r="GZ51" s="62"/>
      <c r="HA51" s="62"/>
      <c r="HB51" s="62"/>
      <c r="HC51" s="62"/>
      <c r="HD51" s="62"/>
      <c r="HE51" s="62"/>
      <c r="HF51" s="62"/>
      <c r="HG51" s="62"/>
      <c r="HH51" s="62"/>
      <c r="HI51" s="62"/>
      <c r="HJ51" s="56"/>
      <c r="HK51" s="58"/>
      <c r="HL51" s="58"/>
      <c r="HM51" s="58"/>
      <c r="HN51" s="62"/>
      <c r="HO51" s="62"/>
      <c r="HP51" s="62"/>
      <c r="HQ51" s="62"/>
      <c r="HR51" s="62"/>
      <c r="HS51" s="62"/>
      <c r="HT51" s="62"/>
      <c r="HU51" s="62"/>
      <c r="HV51" s="62"/>
      <c r="HW51" s="62"/>
      <c r="HX51" s="62"/>
      <c r="HY51" s="62"/>
      <c r="HZ51" s="62"/>
      <c r="IA51" s="62"/>
      <c r="IB51" s="62"/>
      <c r="IC51" s="62"/>
      <c r="ID51" s="4"/>
      <c r="IF51" s="23"/>
      <c r="IG51" s="28"/>
      <c r="IH51" s="28" t="s">
        <v>96</v>
      </c>
      <c r="II51" s="29">
        <f t="shared" si="14"/>
        <v>6</v>
      </c>
      <c r="IJ51" s="29" t="str">
        <f t="shared" si="15"/>
        <v>Color6</v>
      </c>
      <c r="IK51" s="8">
        <f t="shared" si="16"/>
        <v>300</v>
      </c>
      <c r="IL51" s="23"/>
    </row>
    <row r="52" spans="1:246" ht="14.25" thickBot="1" x14ac:dyDescent="0.2">
      <c r="A52" s="223"/>
      <c r="B52" s="6" t="s">
        <v>16</v>
      </c>
      <c r="C52" s="7" t="str">
        <f t="shared" si="5"/>
        <v>*</v>
      </c>
      <c r="D52" s="91" t="s">
        <v>201</v>
      </c>
      <c r="E52" s="103" t="s">
        <v>184</v>
      </c>
      <c r="F52" s="93">
        <v>44858</v>
      </c>
      <c r="G52" s="113">
        <v>1</v>
      </c>
      <c r="H52" s="94">
        <v>0</v>
      </c>
      <c r="I52" s="95">
        <v>100</v>
      </c>
      <c r="J52" s="96"/>
      <c r="K52" s="146" t="s">
        <v>202</v>
      </c>
      <c r="L52" s="158">
        <v>44858</v>
      </c>
      <c r="M52" s="165">
        <v>2</v>
      </c>
      <c r="N52" s="159">
        <v>0</v>
      </c>
      <c r="O52" s="160">
        <v>200</v>
      </c>
      <c r="P52" s="169">
        <v>100</v>
      </c>
      <c r="Q52" s="21"/>
      <c r="R52" s="56"/>
      <c r="S52" s="58"/>
      <c r="T52" s="58"/>
      <c r="U52" s="58"/>
      <c r="V52" s="64"/>
      <c r="W52" s="60"/>
      <c r="X52" s="60"/>
      <c r="Y52" s="60"/>
      <c r="Z52" s="60"/>
      <c r="AA52" s="60"/>
      <c r="AB52" s="60"/>
      <c r="AC52" s="60"/>
      <c r="AD52" s="60"/>
      <c r="AE52" s="60"/>
      <c r="AF52" s="60"/>
      <c r="AG52" s="62"/>
      <c r="AH52" s="62"/>
      <c r="AI52" s="60"/>
      <c r="AJ52" s="60"/>
      <c r="AK52" s="60"/>
      <c r="AL52" s="56"/>
      <c r="AM52" s="58"/>
      <c r="AN52" s="58"/>
      <c r="AO52" s="58"/>
      <c r="AP52" s="62"/>
      <c r="AQ52" s="62"/>
      <c r="AR52" s="62"/>
      <c r="AS52" s="62"/>
      <c r="AT52" s="62"/>
      <c r="AU52" s="62"/>
      <c r="AV52" s="60"/>
      <c r="AW52" s="60"/>
      <c r="AX52" s="60"/>
      <c r="AY52" s="60"/>
      <c r="AZ52" s="60"/>
      <c r="BA52" s="60"/>
      <c r="BB52" s="60"/>
      <c r="BC52" s="60"/>
      <c r="BD52" s="60"/>
      <c r="BE52" s="60"/>
      <c r="BF52" s="56"/>
      <c r="BG52" s="58"/>
      <c r="BH52" s="58"/>
      <c r="BI52" s="58"/>
      <c r="BJ52" s="62"/>
      <c r="BK52" s="60"/>
      <c r="BL52" s="60"/>
      <c r="BM52" s="60"/>
      <c r="BN52" s="60"/>
      <c r="BO52" s="60"/>
      <c r="BP52" s="60"/>
      <c r="BQ52" s="60"/>
      <c r="BR52" s="60"/>
      <c r="BS52" s="60"/>
      <c r="BT52" s="60"/>
      <c r="BU52" s="60"/>
      <c r="BV52" s="60"/>
      <c r="BW52" s="60"/>
      <c r="BX52" s="60"/>
      <c r="BY52" s="60"/>
      <c r="BZ52" s="56"/>
      <c r="CA52" s="58"/>
      <c r="CB52" s="58"/>
      <c r="CC52" s="64"/>
      <c r="CD52" s="64"/>
      <c r="CE52" s="60"/>
      <c r="CF52" s="60"/>
      <c r="CG52" s="60"/>
      <c r="CH52" s="60"/>
      <c r="CI52" s="60"/>
      <c r="CJ52" s="60"/>
      <c r="CK52" s="60"/>
      <c r="CL52" s="60"/>
      <c r="CM52" s="60"/>
      <c r="CN52" s="60"/>
      <c r="CO52" s="60"/>
      <c r="CP52" s="60"/>
      <c r="CQ52" s="60"/>
      <c r="CR52" s="60"/>
      <c r="CS52" s="60"/>
      <c r="CT52" s="56"/>
      <c r="CU52" s="64"/>
      <c r="CV52" s="64"/>
      <c r="CW52" s="64"/>
      <c r="CX52" s="64"/>
      <c r="CY52" s="60"/>
      <c r="CZ52" s="60"/>
      <c r="DA52" s="60"/>
      <c r="DB52" s="60"/>
      <c r="DC52" s="60"/>
      <c r="DD52" s="60"/>
      <c r="DE52" s="60"/>
      <c r="DF52" s="60"/>
      <c r="DG52" s="60"/>
      <c r="DH52" s="60"/>
      <c r="DI52" s="60"/>
      <c r="DJ52" s="60"/>
      <c r="DK52" s="60"/>
      <c r="DL52" s="60"/>
      <c r="DM52" s="60"/>
      <c r="DN52" s="56"/>
      <c r="DO52" s="58"/>
      <c r="DP52" s="58"/>
      <c r="DQ52" s="64"/>
      <c r="DR52" s="60"/>
      <c r="DS52" s="60"/>
      <c r="DT52" s="60"/>
      <c r="DU52" s="60"/>
      <c r="DV52" s="60"/>
      <c r="DW52" s="60"/>
      <c r="DX52" s="60"/>
      <c r="DY52" s="60"/>
      <c r="DZ52" s="60"/>
      <c r="EA52" s="60"/>
      <c r="EB52" s="60"/>
      <c r="EC52" s="62"/>
      <c r="ED52" s="62"/>
      <c r="EE52" s="60"/>
      <c r="EF52" s="60"/>
      <c r="EG52" s="60"/>
      <c r="EH52" s="56"/>
      <c r="EI52" s="58"/>
      <c r="EJ52" s="58"/>
      <c r="EK52" s="64"/>
      <c r="EL52" s="60"/>
      <c r="EM52" s="60"/>
      <c r="EN52" s="60"/>
      <c r="EO52" s="60"/>
      <c r="EP52" s="60"/>
      <c r="EQ52" s="60"/>
      <c r="ER52" s="60"/>
      <c r="ES52" s="60"/>
      <c r="ET52" s="60"/>
      <c r="EU52" s="60"/>
      <c r="EV52" s="60"/>
      <c r="EW52" s="60"/>
      <c r="EX52" s="60"/>
      <c r="EY52" s="60"/>
      <c r="EZ52" s="60"/>
      <c r="FA52" s="60"/>
      <c r="FB52" s="56"/>
      <c r="FC52" s="64"/>
      <c r="FD52" s="64"/>
      <c r="FE52" s="64"/>
      <c r="FF52" s="60"/>
      <c r="FG52" s="60"/>
      <c r="FH52" s="60"/>
      <c r="FI52" s="60"/>
      <c r="FJ52" s="60"/>
      <c r="FK52" s="60"/>
      <c r="FL52" s="60"/>
      <c r="FM52" s="60"/>
      <c r="FN52" s="60"/>
      <c r="FO52" s="60"/>
      <c r="FP52" s="60"/>
      <c r="FQ52" s="60"/>
      <c r="FR52" s="60"/>
      <c r="FS52" s="60"/>
      <c r="FT52" s="60"/>
      <c r="FU52" s="60"/>
      <c r="FV52" s="56"/>
      <c r="FW52" s="64"/>
      <c r="FX52" s="64"/>
      <c r="FY52" s="64"/>
      <c r="FZ52" s="60"/>
      <c r="GA52" s="60"/>
      <c r="GB52" s="60"/>
      <c r="GC52" s="60"/>
      <c r="GD52" s="60"/>
      <c r="GE52" s="60"/>
      <c r="GF52" s="60"/>
      <c r="GG52" s="60"/>
      <c r="GH52" s="60"/>
      <c r="GI52" s="60"/>
      <c r="GJ52" s="60"/>
      <c r="GK52" s="60"/>
      <c r="GL52" s="60"/>
      <c r="GM52" s="60"/>
      <c r="GN52" s="60"/>
      <c r="GO52" s="60"/>
      <c r="GP52" s="56"/>
      <c r="GQ52" s="64"/>
      <c r="GR52" s="64"/>
      <c r="GS52" s="64"/>
      <c r="GT52" s="60"/>
      <c r="GU52" s="60"/>
      <c r="GV52" s="60"/>
      <c r="GW52" s="60"/>
      <c r="GX52" s="60"/>
      <c r="GY52" s="60"/>
      <c r="GZ52" s="62"/>
      <c r="HA52" s="62"/>
      <c r="HB52" s="62"/>
      <c r="HC52" s="62"/>
      <c r="HD52" s="62"/>
      <c r="HE52" s="62"/>
      <c r="HF52" s="62"/>
      <c r="HG52" s="62"/>
      <c r="HH52" s="62"/>
      <c r="HI52" s="62"/>
      <c r="HJ52" s="56"/>
      <c r="HK52" s="58"/>
      <c r="HL52" s="58"/>
      <c r="HM52" s="58"/>
      <c r="HN52" s="62"/>
      <c r="HO52" s="62"/>
      <c r="HP52" s="62"/>
      <c r="HQ52" s="62"/>
      <c r="HR52" s="62"/>
      <c r="HS52" s="62"/>
      <c r="HT52" s="62"/>
      <c r="HU52" s="62"/>
      <c r="HV52" s="62"/>
      <c r="HW52" s="62"/>
      <c r="HX52" s="62"/>
      <c r="HY52" s="62"/>
      <c r="HZ52" s="62"/>
      <c r="IA52" s="62"/>
      <c r="IB52" s="62"/>
      <c r="IC52" s="62"/>
      <c r="ID52" s="4"/>
      <c r="IF52" s="23"/>
      <c r="IG52" s="28"/>
      <c r="IH52" s="28" t="s">
        <v>96</v>
      </c>
      <c r="II52" s="29">
        <f t="shared" si="14"/>
        <v>5</v>
      </c>
      <c r="IJ52" s="29" t="str">
        <f t="shared" si="15"/>
        <v>Color5</v>
      </c>
      <c r="IK52" s="8">
        <f t="shared" si="16"/>
        <v>200</v>
      </c>
      <c r="IL52" s="23"/>
    </row>
    <row r="53" spans="1:246" ht="14.25" thickBot="1" x14ac:dyDescent="0.2">
      <c r="A53" s="223"/>
      <c r="B53" s="6" t="s">
        <v>17</v>
      </c>
      <c r="C53" s="7" t="str">
        <f t="shared" si="5"/>
        <v>*</v>
      </c>
      <c r="D53" s="91" t="s">
        <v>203</v>
      </c>
      <c r="E53" s="103" t="s">
        <v>186</v>
      </c>
      <c r="F53" s="93">
        <v>44865</v>
      </c>
      <c r="G53" s="113">
        <v>2</v>
      </c>
      <c r="H53" s="94">
        <v>0</v>
      </c>
      <c r="I53" s="95">
        <v>100</v>
      </c>
      <c r="J53" s="96"/>
      <c r="K53" s="146" t="s">
        <v>204</v>
      </c>
      <c r="L53" s="158">
        <v>44865</v>
      </c>
      <c r="M53" s="165">
        <v>2</v>
      </c>
      <c r="N53" s="159">
        <v>0</v>
      </c>
      <c r="O53" s="160">
        <v>250</v>
      </c>
      <c r="P53" s="169">
        <v>100</v>
      </c>
      <c r="Q53" s="21"/>
      <c r="R53" s="56"/>
      <c r="S53" s="58"/>
      <c r="T53" s="58"/>
      <c r="U53" s="58"/>
      <c r="V53" s="64"/>
      <c r="W53" s="60"/>
      <c r="X53" s="60"/>
      <c r="Y53" s="60"/>
      <c r="Z53" s="60"/>
      <c r="AA53" s="60"/>
      <c r="AB53" s="60"/>
      <c r="AC53" s="60"/>
      <c r="AD53" s="60"/>
      <c r="AE53" s="60"/>
      <c r="AF53" s="60"/>
      <c r="AG53" s="62"/>
      <c r="AH53" s="62"/>
      <c r="AI53" s="60"/>
      <c r="AJ53" s="60"/>
      <c r="AK53" s="60"/>
      <c r="AL53" s="56"/>
      <c r="AM53" s="58"/>
      <c r="AN53" s="58"/>
      <c r="AO53" s="58"/>
      <c r="AP53" s="62"/>
      <c r="AQ53" s="62"/>
      <c r="AR53" s="62"/>
      <c r="AS53" s="62"/>
      <c r="AT53" s="62"/>
      <c r="AU53" s="62"/>
      <c r="AV53" s="60"/>
      <c r="AW53" s="60"/>
      <c r="AX53" s="60"/>
      <c r="AY53" s="60"/>
      <c r="AZ53" s="60"/>
      <c r="BA53" s="60"/>
      <c r="BB53" s="60"/>
      <c r="BC53" s="60"/>
      <c r="BD53" s="60"/>
      <c r="BE53" s="60"/>
      <c r="BF53" s="56"/>
      <c r="BG53" s="58"/>
      <c r="BH53" s="58"/>
      <c r="BI53" s="58"/>
      <c r="BJ53" s="62"/>
      <c r="BK53" s="60"/>
      <c r="BL53" s="60"/>
      <c r="BM53" s="60"/>
      <c r="BN53" s="60"/>
      <c r="BO53" s="60"/>
      <c r="BP53" s="60"/>
      <c r="BQ53" s="60"/>
      <c r="BR53" s="60"/>
      <c r="BS53" s="60"/>
      <c r="BT53" s="60"/>
      <c r="BU53" s="60"/>
      <c r="BV53" s="60"/>
      <c r="BW53" s="60"/>
      <c r="BX53" s="60"/>
      <c r="BY53" s="60"/>
      <c r="BZ53" s="56"/>
      <c r="CA53" s="58"/>
      <c r="CB53" s="58"/>
      <c r="CC53" s="64"/>
      <c r="CD53" s="64"/>
      <c r="CE53" s="60"/>
      <c r="CF53" s="60"/>
      <c r="CG53" s="60"/>
      <c r="CH53" s="60"/>
      <c r="CI53" s="60"/>
      <c r="CJ53" s="60"/>
      <c r="CK53" s="60"/>
      <c r="CL53" s="60"/>
      <c r="CM53" s="60"/>
      <c r="CN53" s="60"/>
      <c r="CO53" s="60"/>
      <c r="CP53" s="60"/>
      <c r="CQ53" s="60"/>
      <c r="CR53" s="60"/>
      <c r="CS53" s="60"/>
      <c r="CT53" s="56"/>
      <c r="CU53" s="64"/>
      <c r="CV53" s="64"/>
      <c r="CW53" s="64"/>
      <c r="CX53" s="64"/>
      <c r="CY53" s="60"/>
      <c r="CZ53" s="60"/>
      <c r="DA53" s="60"/>
      <c r="DB53" s="60"/>
      <c r="DC53" s="60"/>
      <c r="DD53" s="60"/>
      <c r="DE53" s="60"/>
      <c r="DF53" s="60"/>
      <c r="DG53" s="60"/>
      <c r="DH53" s="60"/>
      <c r="DI53" s="60"/>
      <c r="DJ53" s="60"/>
      <c r="DK53" s="60"/>
      <c r="DL53" s="60"/>
      <c r="DM53" s="60"/>
      <c r="DN53" s="56"/>
      <c r="DO53" s="58"/>
      <c r="DP53" s="58"/>
      <c r="DQ53" s="64"/>
      <c r="DR53" s="60"/>
      <c r="DS53" s="60"/>
      <c r="DT53" s="60"/>
      <c r="DU53" s="60"/>
      <c r="DV53" s="60"/>
      <c r="DW53" s="60"/>
      <c r="DX53" s="60"/>
      <c r="DY53" s="60"/>
      <c r="DZ53" s="60"/>
      <c r="EA53" s="60"/>
      <c r="EB53" s="60"/>
      <c r="EC53" s="62"/>
      <c r="ED53" s="62"/>
      <c r="EE53" s="60"/>
      <c r="EF53" s="60"/>
      <c r="EG53" s="60"/>
      <c r="EH53" s="56"/>
      <c r="EI53" s="58"/>
      <c r="EJ53" s="58"/>
      <c r="EK53" s="64"/>
      <c r="EL53" s="60"/>
      <c r="EM53" s="60"/>
      <c r="EN53" s="60"/>
      <c r="EO53" s="60"/>
      <c r="EP53" s="60"/>
      <c r="EQ53" s="60"/>
      <c r="ER53" s="60"/>
      <c r="ES53" s="60"/>
      <c r="ET53" s="60"/>
      <c r="EU53" s="60"/>
      <c r="EV53" s="60"/>
      <c r="EW53" s="60"/>
      <c r="EX53" s="60"/>
      <c r="EY53" s="60"/>
      <c r="EZ53" s="60"/>
      <c r="FA53" s="60"/>
      <c r="FB53" s="56"/>
      <c r="FC53" s="64"/>
      <c r="FD53" s="64"/>
      <c r="FE53" s="64"/>
      <c r="FF53" s="60"/>
      <c r="FG53" s="60"/>
      <c r="FH53" s="60"/>
      <c r="FI53" s="60"/>
      <c r="FJ53" s="60"/>
      <c r="FK53" s="60"/>
      <c r="FL53" s="60"/>
      <c r="FM53" s="60"/>
      <c r="FN53" s="60"/>
      <c r="FO53" s="60"/>
      <c r="FP53" s="60"/>
      <c r="FQ53" s="60"/>
      <c r="FR53" s="60"/>
      <c r="FS53" s="60"/>
      <c r="FT53" s="60"/>
      <c r="FU53" s="60"/>
      <c r="FV53" s="56"/>
      <c r="FW53" s="64"/>
      <c r="FX53" s="64"/>
      <c r="FY53" s="64"/>
      <c r="FZ53" s="60"/>
      <c r="GA53" s="60"/>
      <c r="GB53" s="60"/>
      <c r="GC53" s="60"/>
      <c r="GD53" s="60"/>
      <c r="GE53" s="60"/>
      <c r="GF53" s="60"/>
      <c r="GG53" s="60"/>
      <c r="GH53" s="60"/>
      <c r="GI53" s="60"/>
      <c r="GJ53" s="60"/>
      <c r="GK53" s="60"/>
      <c r="GL53" s="60"/>
      <c r="GM53" s="60"/>
      <c r="GN53" s="60"/>
      <c r="GO53" s="60"/>
      <c r="GP53" s="56"/>
      <c r="GQ53" s="64"/>
      <c r="GR53" s="64"/>
      <c r="GS53" s="64"/>
      <c r="GT53" s="60"/>
      <c r="GU53" s="60"/>
      <c r="GV53" s="60"/>
      <c r="GW53" s="60"/>
      <c r="GX53" s="60"/>
      <c r="GY53" s="60"/>
      <c r="GZ53" s="62"/>
      <c r="HA53" s="62"/>
      <c r="HB53" s="62"/>
      <c r="HC53" s="62"/>
      <c r="HD53" s="62"/>
      <c r="HE53" s="62"/>
      <c r="HF53" s="62"/>
      <c r="HG53" s="62"/>
      <c r="HH53" s="62"/>
      <c r="HI53" s="62"/>
      <c r="HJ53" s="56"/>
      <c r="HK53" s="58"/>
      <c r="HL53" s="58"/>
      <c r="HM53" s="58"/>
      <c r="HN53" s="62"/>
      <c r="HO53" s="62"/>
      <c r="HP53" s="62"/>
      <c r="HQ53" s="62"/>
      <c r="HR53" s="62"/>
      <c r="HS53" s="62"/>
      <c r="HT53" s="62"/>
      <c r="HU53" s="62"/>
      <c r="HV53" s="62"/>
      <c r="HW53" s="62"/>
      <c r="HX53" s="62"/>
      <c r="HY53" s="62"/>
      <c r="HZ53" s="62"/>
      <c r="IA53" s="62"/>
      <c r="IB53" s="62"/>
      <c r="IC53" s="62"/>
      <c r="ID53" s="4"/>
      <c r="IF53" s="23"/>
      <c r="IG53" s="28"/>
      <c r="IH53" s="28" t="s">
        <v>96</v>
      </c>
      <c r="II53" s="29">
        <f t="shared" si="14"/>
        <v>3</v>
      </c>
      <c r="IJ53" s="29" t="str">
        <f t="shared" si="15"/>
        <v>Color3</v>
      </c>
      <c r="IK53" s="8">
        <f t="shared" si="16"/>
        <v>250</v>
      </c>
      <c r="IL53" s="23"/>
    </row>
    <row r="54" spans="1:246" ht="14.25" thickBot="1" x14ac:dyDescent="0.2">
      <c r="A54" s="223"/>
      <c r="B54" s="6" t="s">
        <v>18</v>
      </c>
      <c r="C54" s="7" t="str">
        <f t="shared" si="5"/>
        <v>*</v>
      </c>
      <c r="D54" s="91" t="s">
        <v>203</v>
      </c>
      <c r="E54" s="103" t="s">
        <v>190</v>
      </c>
      <c r="F54" s="93">
        <v>44865</v>
      </c>
      <c r="G54" s="113">
        <v>2</v>
      </c>
      <c r="H54" s="94">
        <v>0</v>
      </c>
      <c r="I54" s="95">
        <v>100</v>
      </c>
      <c r="J54" s="96"/>
      <c r="K54" s="146" t="s">
        <v>204</v>
      </c>
      <c r="L54" s="158">
        <v>44865</v>
      </c>
      <c r="M54" s="165">
        <v>2</v>
      </c>
      <c r="N54" s="159">
        <v>0</v>
      </c>
      <c r="O54" s="160">
        <v>250</v>
      </c>
      <c r="P54" s="169">
        <v>100</v>
      </c>
      <c r="Q54" s="21"/>
      <c r="R54" s="56"/>
      <c r="S54" s="58"/>
      <c r="T54" s="58"/>
      <c r="U54" s="58"/>
      <c r="V54" s="64"/>
      <c r="W54" s="60"/>
      <c r="X54" s="60"/>
      <c r="Y54" s="60"/>
      <c r="Z54" s="60"/>
      <c r="AA54" s="60"/>
      <c r="AB54" s="60"/>
      <c r="AC54" s="60"/>
      <c r="AD54" s="60"/>
      <c r="AE54" s="60"/>
      <c r="AF54" s="60"/>
      <c r="AG54" s="62"/>
      <c r="AH54" s="62"/>
      <c r="AI54" s="60"/>
      <c r="AJ54" s="60"/>
      <c r="AK54" s="60"/>
      <c r="AL54" s="56"/>
      <c r="AM54" s="58"/>
      <c r="AN54" s="58"/>
      <c r="AO54" s="58"/>
      <c r="AP54" s="62"/>
      <c r="AQ54" s="62"/>
      <c r="AR54" s="62"/>
      <c r="AS54" s="62"/>
      <c r="AT54" s="62"/>
      <c r="AU54" s="62"/>
      <c r="AV54" s="60"/>
      <c r="AW54" s="60"/>
      <c r="AX54" s="60"/>
      <c r="AY54" s="60"/>
      <c r="AZ54" s="60"/>
      <c r="BA54" s="60"/>
      <c r="BB54" s="60"/>
      <c r="BC54" s="60"/>
      <c r="BD54" s="60"/>
      <c r="BE54" s="60"/>
      <c r="BF54" s="56"/>
      <c r="BG54" s="58"/>
      <c r="BH54" s="58"/>
      <c r="BI54" s="58"/>
      <c r="BJ54" s="62"/>
      <c r="BK54" s="60"/>
      <c r="BL54" s="60"/>
      <c r="BM54" s="60"/>
      <c r="BN54" s="60"/>
      <c r="BO54" s="60"/>
      <c r="BP54" s="60"/>
      <c r="BQ54" s="60"/>
      <c r="BR54" s="60"/>
      <c r="BS54" s="60"/>
      <c r="BT54" s="60"/>
      <c r="BU54" s="60"/>
      <c r="BV54" s="60"/>
      <c r="BW54" s="60"/>
      <c r="BX54" s="60"/>
      <c r="BY54" s="60"/>
      <c r="BZ54" s="56"/>
      <c r="CA54" s="58"/>
      <c r="CB54" s="58"/>
      <c r="CC54" s="64"/>
      <c r="CD54" s="64"/>
      <c r="CE54" s="60"/>
      <c r="CF54" s="60"/>
      <c r="CG54" s="60"/>
      <c r="CH54" s="60"/>
      <c r="CI54" s="60"/>
      <c r="CJ54" s="60"/>
      <c r="CK54" s="60"/>
      <c r="CL54" s="60"/>
      <c r="CM54" s="60"/>
      <c r="CN54" s="60"/>
      <c r="CO54" s="60"/>
      <c r="CP54" s="60"/>
      <c r="CQ54" s="60"/>
      <c r="CR54" s="60"/>
      <c r="CS54" s="60"/>
      <c r="CT54" s="56"/>
      <c r="CU54" s="64"/>
      <c r="CV54" s="64"/>
      <c r="CW54" s="64"/>
      <c r="CX54" s="64"/>
      <c r="CY54" s="60"/>
      <c r="CZ54" s="60"/>
      <c r="DA54" s="60"/>
      <c r="DB54" s="60"/>
      <c r="DC54" s="60"/>
      <c r="DD54" s="60"/>
      <c r="DE54" s="60"/>
      <c r="DF54" s="60"/>
      <c r="DG54" s="60"/>
      <c r="DH54" s="60"/>
      <c r="DI54" s="60"/>
      <c r="DJ54" s="60"/>
      <c r="DK54" s="60"/>
      <c r="DL54" s="60"/>
      <c r="DM54" s="60"/>
      <c r="DN54" s="56"/>
      <c r="DO54" s="58"/>
      <c r="DP54" s="58"/>
      <c r="DQ54" s="64"/>
      <c r="DR54" s="60"/>
      <c r="DS54" s="60"/>
      <c r="DT54" s="60"/>
      <c r="DU54" s="60"/>
      <c r="DV54" s="60"/>
      <c r="DW54" s="60"/>
      <c r="DX54" s="60"/>
      <c r="DY54" s="60"/>
      <c r="DZ54" s="60"/>
      <c r="EA54" s="60"/>
      <c r="EB54" s="60"/>
      <c r="EC54" s="62"/>
      <c r="ED54" s="62"/>
      <c r="EE54" s="60"/>
      <c r="EF54" s="60"/>
      <c r="EG54" s="60"/>
      <c r="EH54" s="56"/>
      <c r="EI54" s="58"/>
      <c r="EJ54" s="58"/>
      <c r="EK54" s="64"/>
      <c r="EL54" s="60"/>
      <c r="EM54" s="60"/>
      <c r="EN54" s="60"/>
      <c r="EO54" s="60"/>
      <c r="EP54" s="60"/>
      <c r="EQ54" s="60"/>
      <c r="ER54" s="60"/>
      <c r="ES54" s="60"/>
      <c r="ET54" s="60"/>
      <c r="EU54" s="60"/>
      <c r="EV54" s="60"/>
      <c r="EW54" s="60"/>
      <c r="EX54" s="60"/>
      <c r="EY54" s="60"/>
      <c r="EZ54" s="60"/>
      <c r="FA54" s="60"/>
      <c r="FB54" s="56"/>
      <c r="FC54" s="64"/>
      <c r="FD54" s="64"/>
      <c r="FE54" s="64"/>
      <c r="FF54" s="60"/>
      <c r="FG54" s="60"/>
      <c r="FH54" s="60"/>
      <c r="FI54" s="60"/>
      <c r="FJ54" s="60"/>
      <c r="FK54" s="60"/>
      <c r="FL54" s="60"/>
      <c r="FM54" s="60"/>
      <c r="FN54" s="60"/>
      <c r="FO54" s="60"/>
      <c r="FP54" s="60"/>
      <c r="FQ54" s="60"/>
      <c r="FR54" s="60"/>
      <c r="FS54" s="60"/>
      <c r="FT54" s="60"/>
      <c r="FU54" s="60"/>
      <c r="FV54" s="56"/>
      <c r="FW54" s="64"/>
      <c r="FX54" s="64"/>
      <c r="FY54" s="64"/>
      <c r="FZ54" s="60"/>
      <c r="GA54" s="60"/>
      <c r="GB54" s="60"/>
      <c r="GC54" s="60"/>
      <c r="GD54" s="60"/>
      <c r="GE54" s="60"/>
      <c r="GF54" s="60"/>
      <c r="GG54" s="60"/>
      <c r="GH54" s="60"/>
      <c r="GI54" s="60"/>
      <c r="GJ54" s="60"/>
      <c r="GK54" s="60"/>
      <c r="GL54" s="60"/>
      <c r="GM54" s="60"/>
      <c r="GN54" s="60"/>
      <c r="GO54" s="60"/>
      <c r="GP54" s="56"/>
      <c r="GQ54" s="64"/>
      <c r="GR54" s="64"/>
      <c r="GS54" s="64"/>
      <c r="GT54" s="60"/>
      <c r="GU54" s="60"/>
      <c r="GV54" s="60"/>
      <c r="GW54" s="60"/>
      <c r="GX54" s="60"/>
      <c r="GY54" s="60"/>
      <c r="GZ54" s="62"/>
      <c r="HA54" s="62"/>
      <c r="HB54" s="62"/>
      <c r="HC54" s="62"/>
      <c r="HD54" s="62"/>
      <c r="HE54" s="62"/>
      <c r="HF54" s="62"/>
      <c r="HG54" s="62"/>
      <c r="HH54" s="62"/>
      <c r="HI54" s="62"/>
      <c r="HJ54" s="56"/>
      <c r="HK54" s="58"/>
      <c r="HL54" s="58"/>
      <c r="HM54" s="58"/>
      <c r="HN54" s="62"/>
      <c r="HO54" s="62"/>
      <c r="HP54" s="62"/>
      <c r="HQ54" s="62"/>
      <c r="HR54" s="62"/>
      <c r="HS54" s="62"/>
      <c r="HT54" s="62"/>
      <c r="HU54" s="62"/>
      <c r="HV54" s="62"/>
      <c r="HW54" s="62"/>
      <c r="HX54" s="62"/>
      <c r="HY54" s="62"/>
      <c r="HZ54" s="62"/>
      <c r="IA54" s="62"/>
      <c r="IB54" s="62"/>
      <c r="IC54" s="62"/>
      <c r="ID54" s="4"/>
      <c r="IF54" s="23"/>
      <c r="IG54" s="28"/>
      <c r="IH54" s="28" t="s">
        <v>96</v>
      </c>
      <c r="II54" s="29">
        <f t="shared" si="14"/>
        <v>6</v>
      </c>
      <c r="IJ54" s="29" t="str">
        <f t="shared" si="15"/>
        <v>Color6</v>
      </c>
      <c r="IK54" s="8">
        <f t="shared" si="16"/>
        <v>250</v>
      </c>
      <c r="IL54" s="23"/>
    </row>
    <row r="55" spans="1:246" ht="14.25" thickBot="1" x14ac:dyDescent="0.2">
      <c r="A55" s="223"/>
      <c r="B55" s="6" t="s">
        <v>19</v>
      </c>
      <c r="C55" s="7" t="str">
        <f t="shared" si="5"/>
        <v>*</v>
      </c>
      <c r="D55" s="91" t="s">
        <v>203</v>
      </c>
      <c r="E55" s="103" t="s">
        <v>184</v>
      </c>
      <c r="F55" s="93">
        <v>44865</v>
      </c>
      <c r="G55" s="113">
        <v>2</v>
      </c>
      <c r="H55" s="94">
        <v>0</v>
      </c>
      <c r="I55" s="95">
        <v>100</v>
      </c>
      <c r="J55" s="96"/>
      <c r="K55" s="146" t="s">
        <v>204</v>
      </c>
      <c r="L55" s="158">
        <v>44865</v>
      </c>
      <c r="M55" s="165">
        <v>2</v>
      </c>
      <c r="N55" s="159">
        <v>0</v>
      </c>
      <c r="O55" s="160">
        <v>250</v>
      </c>
      <c r="P55" s="169">
        <v>100</v>
      </c>
      <c r="Q55" s="21"/>
      <c r="R55" s="56"/>
      <c r="S55" s="58"/>
      <c r="T55" s="58"/>
      <c r="U55" s="58"/>
      <c r="V55" s="64"/>
      <c r="W55" s="60"/>
      <c r="X55" s="60"/>
      <c r="Y55" s="60"/>
      <c r="Z55" s="60"/>
      <c r="AA55" s="60"/>
      <c r="AB55" s="60"/>
      <c r="AC55" s="60"/>
      <c r="AD55" s="60"/>
      <c r="AE55" s="60"/>
      <c r="AF55" s="60"/>
      <c r="AG55" s="62"/>
      <c r="AH55" s="62"/>
      <c r="AI55" s="60"/>
      <c r="AJ55" s="60"/>
      <c r="AK55" s="60"/>
      <c r="AL55" s="56"/>
      <c r="AM55" s="58"/>
      <c r="AN55" s="58"/>
      <c r="AO55" s="58"/>
      <c r="AP55" s="62"/>
      <c r="AQ55" s="62"/>
      <c r="AR55" s="62"/>
      <c r="AS55" s="62"/>
      <c r="AT55" s="62"/>
      <c r="AU55" s="62"/>
      <c r="AV55" s="60"/>
      <c r="AW55" s="60"/>
      <c r="AX55" s="60"/>
      <c r="AY55" s="60"/>
      <c r="AZ55" s="60"/>
      <c r="BA55" s="60"/>
      <c r="BB55" s="60"/>
      <c r="BC55" s="60"/>
      <c r="BD55" s="60"/>
      <c r="BE55" s="60"/>
      <c r="BF55" s="56"/>
      <c r="BG55" s="58"/>
      <c r="BH55" s="58"/>
      <c r="BI55" s="58"/>
      <c r="BJ55" s="62"/>
      <c r="BK55" s="60"/>
      <c r="BL55" s="60"/>
      <c r="BM55" s="60"/>
      <c r="BN55" s="60"/>
      <c r="BO55" s="60"/>
      <c r="BP55" s="60"/>
      <c r="BQ55" s="60"/>
      <c r="BR55" s="60"/>
      <c r="BS55" s="60"/>
      <c r="BT55" s="60"/>
      <c r="BU55" s="60"/>
      <c r="BV55" s="60"/>
      <c r="BW55" s="60"/>
      <c r="BX55" s="60"/>
      <c r="BY55" s="60"/>
      <c r="BZ55" s="56"/>
      <c r="CA55" s="58"/>
      <c r="CB55" s="58"/>
      <c r="CC55" s="64"/>
      <c r="CD55" s="64"/>
      <c r="CE55" s="60"/>
      <c r="CF55" s="60"/>
      <c r="CG55" s="60"/>
      <c r="CH55" s="60"/>
      <c r="CI55" s="60"/>
      <c r="CJ55" s="60"/>
      <c r="CK55" s="60"/>
      <c r="CL55" s="60"/>
      <c r="CM55" s="60"/>
      <c r="CN55" s="60"/>
      <c r="CO55" s="60"/>
      <c r="CP55" s="60"/>
      <c r="CQ55" s="60"/>
      <c r="CR55" s="60"/>
      <c r="CS55" s="60"/>
      <c r="CT55" s="56"/>
      <c r="CU55" s="64"/>
      <c r="CV55" s="64"/>
      <c r="CW55" s="64"/>
      <c r="CX55" s="64"/>
      <c r="CY55" s="60"/>
      <c r="CZ55" s="60"/>
      <c r="DA55" s="60"/>
      <c r="DB55" s="60"/>
      <c r="DC55" s="60"/>
      <c r="DD55" s="60"/>
      <c r="DE55" s="60"/>
      <c r="DF55" s="60"/>
      <c r="DG55" s="60"/>
      <c r="DH55" s="60"/>
      <c r="DI55" s="60"/>
      <c r="DJ55" s="60"/>
      <c r="DK55" s="60"/>
      <c r="DL55" s="60"/>
      <c r="DM55" s="60"/>
      <c r="DN55" s="56"/>
      <c r="DO55" s="58"/>
      <c r="DP55" s="58"/>
      <c r="DQ55" s="64"/>
      <c r="DR55" s="60"/>
      <c r="DS55" s="60"/>
      <c r="DT55" s="60"/>
      <c r="DU55" s="60"/>
      <c r="DV55" s="60"/>
      <c r="DW55" s="60"/>
      <c r="DX55" s="60"/>
      <c r="DY55" s="60"/>
      <c r="DZ55" s="60"/>
      <c r="EA55" s="60"/>
      <c r="EB55" s="60"/>
      <c r="EC55" s="62"/>
      <c r="ED55" s="62"/>
      <c r="EE55" s="60"/>
      <c r="EF55" s="60"/>
      <c r="EG55" s="60"/>
      <c r="EH55" s="56"/>
      <c r="EI55" s="58"/>
      <c r="EJ55" s="58"/>
      <c r="EK55" s="64"/>
      <c r="EL55" s="60"/>
      <c r="EM55" s="60"/>
      <c r="EN55" s="60"/>
      <c r="EO55" s="60"/>
      <c r="EP55" s="60"/>
      <c r="EQ55" s="60"/>
      <c r="ER55" s="60"/>
      <c r="ES55" s="60"/>
      <c r="ET55" s="60"/>
      <c r="EU55" s="60"/>
      <c r="EV55" s="60"/>
      <c r="EW55" s="60"/>
      <c r="EX55" s="60"/>
      <c r="EY55" s="60"/>
      <c r="EZ55" s="60"/>
      <c r="FA55" s="60"/>
      <c r="FB55" s="56"/>
      <c r="FC55" s="64"/>
      <c r="FD55" s="64"/>
      <c r="FE55" s="64"/>
      <c r="FF55" s="60"/>
      <c r="FG55" s="60"/>
      <c r="FH55" s="60"/>
      <c r="FI55" s="60"/>
      <c r="FJ55" s="60"/>
      <c r="FK55" s="60"/>
      <c r="FL55" s="60"/>
      <c r="FM55" s="60"/>
      <c r="FN55" s="60"/>
      <c r="FO55" s="60"/>
      <c r="FP55" s="60"/>
      <c r="FQ55" s="60"/>
      <c r="FR55" s="60"/>
      <c r="FS55" s="60"/>
      <c r="FT55" s="60"/>
      <c r="FU55" s="60"/>
      <c r="FV55" s="56"/>
      <c r="FW55" s="64"/>
      <c r="FX55" s="64"/>
      <c r="FY55" s="64"/>
      <c r="FZ55" s="60"/>
      <c r="GA55" s="60"/>
      <c r="GB55" s="60"/>
      <c r="GC55" s="60"/>
      <c r="GD55" s="60"/>
      <c r="GE55" s="60"/>
      <c r="GF55" s="60"/>
      <c r="GG55" s="60"/>
      <c r="GH55" s="60"/>
      <c r="GI55" s="60"/>
      <c r="GJ55" s="60"/>
      <c r="GK55" s="60"/>
      <c r="GL55" s="60"/>
      <c r="GM55" s="60"/>
      <c r="GN55" s="60"/>
      <c r="GO55" s="60"/>
      <c r="GP55" s="56"/>
      <c r="GQ55" s="64"/>
      <c r="GR55" s="64"/>
      <c r="GS55" s="64"/>
      <c r="GT55" s="60"/>
      <c r="GU55" s="60"/>
      <c r="GV55" s="60"/>
      <c r="GW55" s="60"/>
      <c r="GX55" s="60"/>
      <c r="GY55" s="60"/>
      <c r="GZ55" s="62"/>
      <c r="HA55" s="62"/>
      <c r="HB55" s="62"/>
      <c r="HC55" s="62"/>
      <c r="HD55" s="62"/>
      <c r="HE55" s="62"/>
      <c r="HF55" s="62"/>
      <c r="HG55" s="62"/>
      <c r="HH55" s="62"/>
      <c r="HI55" s="62"/>
      <c r="HJ55" s="56"/>
      <c r="HK55" s="58"/>
      <c r="HL55" s="58"/>
      <c r="HM55" s="58"/>
      <c r="HN55" s="62"/>
      <c r="HO55" s="62"/>
      <c r="HP55" s="62"/>
      <c r="HQ55" s="62"/>
      <c r="HR55" s="62"/>
      <c r="HS55" s="62"/>
      <c r="HT55" s="62"/>
      <c r="HU55" s="62"/>
      <c r="HV55" s="62"/>
      <c r="HW55" s="62"/>
      <c r="HX55" s="62"/>
      <c r="HY55" s="62"/>
      <c r="HZ55" s="62"/>
      <c r="IA55" s="62"/>
      <c r="IB55" s="62"/>
      <c r="IC55" s="62"/>
      <c r="ID55" s="4"/>
      <c r="IF55" s="23"/>
      <c r="IG55" s="28"/>
      <c r="IH55" s="28" t="s">
        <v>96</v>
      </c>
      <c r="II55" s="29">
        <f t="shared" si="14"/>
        <v>5</v>
      </c>
      <c r="IJ55" s="29" t="str">
        <f t="shared" si="15"/>
        <v>Color5</v>
      </c>
      <c r="IK55" s="8">
        <f t="shared" si="16"/>
        <v>250</v>
      </c>
      <c r="IL55" s="23"/>
    </row>
    <row r="56" spans="1:246" ht="14.25" thickBot="1" x14ac:dyDescent="0.2">
      <c r="A56" s="223"/>
      <c r="B56" s="6" t="s">
        <v>86</v>
      </c>
      <c r="C56" s="7" t="str">
        <f t="shared" si="5"/>
        <v>*</v>
      </c>
      <c r="D56" s="91" t="s">
        <v>205</v>
      </c>
      <c r="E56" s="103" t="s">
        <v>184</v>
      </c>
      <c r="F56" s="93">
        <v>44872</v>
      </c>
      <c r="G56" s="113">
        <v>1</v>
      </c>
      <c r="H56" s="94">
        <v>0</v>
      </c>
      <c r="I56" s="95">
        <v>150</v>
      </c>
      <c r="J56" s="96"/>
      <c r="K56" s="146" t="s">
        <v>206</v>
      </c>
      <c r="L56" s="158">
        <v>44872</v>
      </c>
      <c r="M56" s="165">
        <v>2</v>
      </c>
      <c r="N56" s="159">
        <v>30</v>
      </c>
      <c r="O56" s="160">
        <v>300</v>
      </c>
      <c r="P56" s="169">
        <v>100</v>
      </c>
      <c r="Q56" s="21"/>
      <c r="R56" s="56"/>
      <c r="S56" s="58"/>
      <c r="T56" s="58"/>
      <c r="U56" s="58"/>
      <c r="V56" s="64"/>
      <c r="W56" s="60"/>
      <c r="X56" s="60"/>
      <c r="Y56" s="60"/>
      <c r="Z56" s="60"/>
      <c r="AA56" s="60"/>
      <c r="AB56" s="60"/>
      <c r="AC56" s="60"/>
      <c r="AD56" s="60"/>
      <c r="AE56" s="60"/>
      <c r="AF56" s="60"/>
      <c r="AG56" s="62"/>
      <c r="AH56" s="62"/>
      <c r="AI56" s="60"/>
      <c r="AJ56" s="60"/>
      <c r="AK56" s="60"/>
      <c r="AL56" s="56"/>
      <c r="AM56" s="58"/>
      <c r="AN56" s="58"/>
      <c r="AO56" s="58"/>
      <c r="AP56" s="62"/>
      <c r="AQ56" s="62"/>
      <c r="AR56" s="62"/>
      <c r="AS56" s="62"/>
      <c r="AT56" s="62"/>
      <c r="AU56" s="62"/>
      <c r="AV56" s="60"/>
      <c r="AW56" s="60"/>
      <c r="AX56" s="60"/>
      <c r="AY56" s="60"/>
      <c r="AZ56" s="60"/>
      <c r="BA56" s="60"/>
      <c r="BB56" s="60"/>
      <c r="BC56" s="60"/>
      <c r="BD56" s="60"/>
      <c r="BE56" s="60"/>
      <c r="BF56" s="56"/>
      <c r="BG56" s="58"/>
      <c r="BH56" s="58"/>
      <c r="BI56" s="58"/>
      <c r="BJ56" s="62"/>
      <c r="BK56" s="60"/>
      <c r="BL56" s="60"/>
      <c r="BM56" s="60"/>
      <c r="BN56" s="60"/>
      <c r="BO56" s="60"/>
      <c r="BP56" s="60"/>
      <c r="BQ56" s="60"/>
      <c r="BR56" s="60"/>
      <c r="BS56" s="60"/>
      <c r="BT56" s="60"/>
      <c r="BU56" s="60"/>
      <c r="BV56" s="60"/>
      <c r="BW56" s="60"/>
      <c r="BX56" s="60"/>
      <c r="BY56" s="60"/>
      <c r="BZ56" s="56"/>
      <c r="CA56" s="58"/>
      <c r="CB56" s="58"/>
      <c r="CC56" s="64"/>
      <c r="CD56" s="64"/>
      <c r="CE56" s="60"/>
      <c r="CF56" s="60"/>
      <c r="CG56" s="60"/>
      <c r="CH56" s="60"/>
      <c r="CI56" s="60"/>
      <c r="CJ56" s="60"/>
      <c r="CK56" s="60"/>
      <c r="CL56" s="60"/>
      <c r="CM56" s="60"/>
      <c r="CN56" s="60"/>
      <c r="CO56" s="60"/>
      <c r="CP56" s="60"/>
      <c r="CQ56" s="60"/>
      <c r="CR56" s="60"/>
      <c r="CS56" s="60"/>
      <c r="CT56" s="56"/>
      <c r="CU56" s="64"/>
      <c r="CV56" s="64"/>
      <c r="CW56" s="64"/>
      <c r="CX56" s="64"/>
      <c r="CY56" s="60"/>
      <c r="CZ56" s="60"/>
      <c r="DA56" s="60"/>
      <c r="DB56" s="60"/>
      <c r="DC56" s="60"/>
      <c r="DD56" s="60"/>
      <c r="DE56" s="60"/>
      <c r="DF56" s="60"/>
      <c r="DG56" s="60"/>
      <c r="DH56" s="60"/>
      <c r="DI56" s="60"/>
      <c r="DJ56" s="60"/>
      <c r="DK56" s="60"/>
      <c r="DL56" s="60"/>
      <c r="DM56" s="60"/>
      <c r="DN56" s="56"/>
      <c r="DO56" s="58"/>
      <c r="DP56" s="58"/>
      <c r="DQ56" s="64"/>
      <c r="DR56" s="60"/>
      <c r="DS56" s="60"/>
      <c r="DT56" s="60"/>
      <c r="DU56" s="60"/>
      <c r="DV56" s="60"/>
      <c r="DW56" s="60"/>
      <c r="DX56" s="60"/>
      <c r="DY56" s="60"/>
      <c r="DZ56" s="60"/>
      <c r="EA56" s="60"/>
      <c r="EB56" s="60"/>
      <c r="EC56" s="62"/>
      <c r="ED56" s="62"/>
      <c r="EE56" s="60"/>
      <c r="EF56" s="60"/>
      <c r="EG56" s="60"/>
      <c r="EH56" s="56"/>
      <c r="EI56" s="58"/>
      <c r="EJ56" s="58"/>
      <c r="EK56" s="64"/>
      <c r="EL56" s="60"/>
      <c r="EM56" s="60"/>
      <c r="EN56" s="60"/>
      <c r="EO56" s="60"/>
      <c r="EP56" s="60"/>
      <c r="EQ56" s="60"/>
      <c r="ER56" s="60"/>
      <c r="ES56" s="60"/>
      <c r="ET56" s="60"/>
      <c r="EU56" s="60"/>
      <c r="EV56" s="60"/>
      <c r="EW56" s="60"/>
      <c r="EX56" s="60"/>
      <c r="EY56" s="60"/>
      <c r="EZ56" s="60"/>
      <c r="FA56" s="60"/>
      <c r="FB56" s="56"/>
      <c r="FC56" s="64"/>
      <c r="FD56" s="64"/>
      <c r="FE56" s="64"/>
      <c r="FF56" s="60"/>
      <c r="FG56" s="60"/>
      <c r="FH56" s="60"/>
      <c r="FI56" s="60"/>
      <c r="FJ56" s="60"/>
      <c r="FK56" s="60"/>
      <c r="FL56" s="60"/>
      <c r="FM56" s="60"/>
      <c r="FN56" s="60"/>
      <c r="FO56" s="60"/>
      <c r="FP56" s="60"/>
      <c r="FQ56" s="60"/>
      <c r="FR56" s="60"/>
      <c r="FS56" s="60"/>
      <c r="FT56" s="60"/>
      <c r="FU56" s="60"/>
      <c r="FV56" s="56"/>
      <c r="FW56" s="64"/>
      <c r="FX56" s="64"/>
      <c r="FY56" s="64"/>
      <c r="FZ56" s="60"/>
      <c r="GA56" s="60"/>
      <c r="GB56" s="60"/>
      <c r="GC56" s="60"/>
      <c r="GD56" s="60"/>
      <c r="GE56" s="60"/>
      <c r="GF56" s="60"/>
      <c r="GG56" s="60"/>
      <c r="GH56" s="60"/>
      <c r="GI56" s="60"/>
      <c r="GJ56" s="60"/>
      <c r="GK56" s="60"/>
      <c r="GL56" s="60"/>
      <c r="GM56" s="60"/>
      <c r="GN56" s="60"/>
      <c r="GO56" s="60"/>
      <c r="GP56" s="56"/>
      <c r="GQ56" s="64"/>
      <c r="GR56" s="64"/>
      <c r="GS56" s="64"/>
      <c r="GT56" s="60"/>
      <c r="GU56" s="60"/>
      <c r="GV56" s="60"/>
      <c r="GW56" s="60"/>
      <c r="GX56" s="60"/>
      <c r="GY56" s="60"/>
      <c r="GZ56" s="62"/>
      <c r="HA56" s="62"/>
      <c r="HB56" s="62"/>
      <c r="HC56" s="62"/>
      <c r="HD56" s="62"/>
      <c r="HE56" s="62"/>
      <c r="HF56" s="62"/>
      <c r="HG56" s="62"/>
      <c r="HH56" s="62"/>
      <c r="HI56" s="62"/>
      <c r="HJ56" s="56"/>
      <c r="HK56" s="58"/>
      <c r="HL56" s="58"/>
      <c r="HM56" s="58"/>
      <c r="HN56" s="62"/>
      <c r="HO56" s="62"/>
      <c r="HP56" s="62"/>
      <c r="HQ56" s="62"/>
      <c r="HR56" s="62"/>
      <c r="HS56" s="62"/>
      <c r="HT56" s="62"/>
      <c r="HU56" s="62"/>
      <c r="HV56" s="62"/>
      <c r="HW56" s="62"/>
      <c r="HX56" s="62"/>
      <c r="HY56" s="62"/>
      <c r="HZ56" s="62"/>
      <c r="IA56" s="62"/>
      <c r="IB56" s="62"/>
      <c r="IC56" s="62"/>
      <c r="ID56" s="4"/>
      <c r="IF56" s="23"/>
      <c r="IG56" s="28"/>
      <c r="IH56" s="28" t="s">
        <v>96</v>
      </c>
      <c r="II56" s="29">
        <f t="shared" si="14"/>
        <v>5</v>
      </c>
      <c r="IJ56" s="29" t="str">
        <f t="shared" si="15"/>
        <v>Color5</v>
      </c>
      <c r="IK56" s="8">
        <f t="shared" si="16"/>
        <v>300</v>
      </c>
      <c r="IL56" s="23"/>
    </row>
    <row r="57" spans="1:246" ht="14.25" thickBot="1" x14ac:dyDescent="0.2">
      <c r="A57" s="223"/>
      <c r="B57" s="6" t="s">
        <v>47</v>
      </c>
      <c r="C57" s="7" t="str">
        <f t="shared" si="5"/>
        <v>*</v>
      </c>
      <c r="D57" s="91" t="s">
        <v>205</v>
      </c>
      <c r="E57" s="103" t="s">
        <v>190</v>
      </c>
      <c r="F57" s="93">
        <v>44872</v>
      </c>
      <c r="G57" s="113">
        <v>1</v>
      </c>
      <c r="H57" s="94">
        <v>0</v>
      </c>
      <c r="I57" s="95">
        <v>150</v>
      </c>
      <c r="J57" s="96"/>
      <c r="K57" s="146" t="s">
        <v>206</v>
      </c>
      <c r="L57" s="158">
        <v>44872</v>
      </c>
      <c r="M57" s="165">
        <v>2</v>
      </c>
      <c r="N57" s="159">
        <v>30</v>
      </c>
      <c r="O57" s="160">
        <v>300</v>
      </c>
      <c r="P57" s="169">
        <v>100</v>
      </c>
      <c r="Q57" s="21"/>
      <c r="R57" s="56"/>
      <c r="S57" s="58"/>
      <c r="T57" s="58"/>
      <c r="U57" s="58"/>
      <c r="V57" s="64"/>
      <c r="W57" s="60"/>
      <c r="X57" s="60"/>
      <c r="Y57" s="60"/>
      <c r="Z57" s="60"/>
      <c r="AA57" s="60"/>
      <c r="AB57" s="60"/>
      <c r="AC57" s="60"/>
      <c r="AD57" s="60"/>
      <c r="AE57" s="60"/>
      <c r="AF57" s="60"/>
      <c r="AG57" s="62"/>
      <c r="AH57" s="62"/>
      <c r="AI57" s="60"/>
      <c r="AJ57" s="60"/>
      <c r="AK57" s="60"/>
      <c r="AL57" s="56"/>
      <c r="AM57" s="58"/>
      <c r="AN57" s="58"/>
      <c r="AO57" s="58"/>
      <c r="AP57" s="62"/>
      <c r="AQ57" s="62"/>
      <c r="AR57" s="62"/>
      <c r="AS57" s="62"/>
      <c r="AT57" s="62"/>
      <c r="AU57" s="62"/>
      <c r="AV57" s="60"/>
      <c r="AW57" s="60"/>
      <c r="AX57" s="60"/>
      <c r="AY57" s="60"/>
      <c r="AZ57" s="60"/>
      <c r="BA57" s="60"/>
      <c r="BB57" s="60"/>
      <c r="BC57" s="60"/>
      <c r="BD57" s="60"/>
      <c r="BE57" s="60"/>
      <c r="BF57" s="56"/>
      <c r="BG57" s="58"/>
      <c r="BH57" s="58"/>
      <c r="BI57" s="58"/>
      <c r="BJ57" s="62"/>
      <c r="BK57" s="60"/>
      <c r="BL57" s="60"/>
      <c r="BM57" s="60"/>
      <c r="BN57" s="60"/>
      <c r="BO57" s="60"/>
      <c r="BP57" s="60"/>
      <c r="BQ57" s="60"/>
      <c r="BR57" s="60"/>
      <c r="BS57" s="60"/>
      <c r="BT57" s="60"/>
      <c r="BU57" s="60"/>
      <c r="BV57" s="60"/>
      <c r="BW57" s="60"/>
      <c r="BX57" s="60"/>
      <c r="BY57" s="60"/>
      <c r="BZ57" s="56"/>
      <c r="CA57" s="58"/>
      <c r="CB57" s="58"/>
      <c r="CC57" s="64"/>
      <c r="CD57" s="64"/>
      <c r="CE57" s="60"/>
      <c r="CF57" s="60"/>
      <c r="CG57" s="60"/>
      <c r="CH57" s="60"/>
      <c r="CI57" s="60"/>
      <c r="CJ57" s="60"/>
      <c r="CK57" s="60"/>
      <c r="CL57" s="60"/>
      <c r="CM57" s="60"/>
      <c r="CN57" s="60"/>
      <c r="CO57" s="60"/>
      <c r="CP57" s="60"/>
      <c r="CQ57" s="60"/>
      <c r="CR57" s="60"/>
      <c r="CS57" s="60"/>
      <c r="CT57" s="56"/>
      <c r="CU57" s="64"/>
      <c r="CV57" s="64"/>
      <c r="CW57" s="64"/>
      <c r="CX57" s="64"/>
      <c r="CY57" s="60"/>
      <c r="CZ57" s="60"/>
      <c r="DA57" s="60"/>
      <c r="DB57" s="60"/>
      <c r="DC57" s="60"/>
      <c r="DD57" s="60"/>
      <c r="DE57" s="60"/>
      <c r="DF57" s="60"/>
      <c r="DG57" s="60"/>
      <c r="DH57" s="60"/>
      <c r="DI57" s="60"/>
      <c r="DJ57" s="60"/>
      <c r="DK57" s="60"/>
      <c r="DL57" s="60"/>
      <c r="DM57" s="60"/>
      <c r="DN57" s="56"/>
      <c r="DO57" s="58"/>
      <c r="DP57" s="58"/>
      <c r="DQ57" s="64"/>
      <c r="DR57" s="60"/>
      <c r="DS57" s="60"/>
      <c r="DT57" s="60"/>
      <c r="DU57" s="60"/>
      <c r="DV57" s="60"/>
      <c r="DW57" s="60"/>
      <c r="DX57" s="60"/>
      <c r="DY57" s="60"/>
      <c r="DZ57" s="60"/>
      <c r="EA57" s="60"/>
      <c r="EB57" s="60"/>
      <c r="EC57" s="62"/>
      <c r="ED57" s="62"/>
      <c r="EE57" s="60"/>
      <c r="EF57" s="60"/>
      <c r="EG57" s="60"/>
      <c r="EH57" s="56"/>
      <c r="EI57" s="58"/>
      <c r="EJ57" s="58"/>
      <c r="EK57" s="64"/>
      <c r="EL57" s="60"/>
      <c r="EM57" s="60"/>
      <c r="EN57" s="60"/>
      <c r="EO57" s="60"/>
      <c r="EP57" s="60"/>
      <c r="EQ57" s="60"/>
      <c r="ER57" s="60"/>
      <c r="ES57" s="60"/>
      <c r="ET57" s="60"/>
      <c r="EU57" s="60"/>
      <c r="EV57" s="60"/>
      <c r="EW57" s="60"/>
      <c r="EX57" s="60"/>
      <c r="EY57" s="60"/>
      <c r="EZ57" s="60"/>
      <c r="FA57" s="60"/>
      <c r="FB57" s="56"/>
      <c r="FC57" s="64"/>
      <c r="FD57" s="64"/>
      <c r="FE57" s="64"/>
      <c r="FF57" s="60"/>
      <c r="FG57" s="60"/>
      <c r="FH57" s="60"/>
      <c r="FI57" s="60"/>
      <c r="FJ57" s="60"/>
      <c r="FK57" s="60"/>
      <c r="FL57" s="60"/>
      <c r="FM57" s="60"/>
      <c r="FN57" s="60"/>
      <c r="FO57" s="60"/>
      <c r="FP57" s="60"/>
      <c r="FQ57" s="60"/>
      <c r="FR57" s="60"/>
      <c r="FS57" s="60"/>
      <c r="FT57" s="60"/>
      <c r="FU57" s="60"/>
      <c r="FV57" s="56"/>
      <c r="FW57" s="64"/>
      <c r="FX57" s="64"/>
      <c r="FY57" s="64"/>
      <c r="FZ57" s="60"/>
      <c r="GA57" s="60"/>
      <c r="GB57" s="60"/>
      <c r="GC57" s="60"/>
      <c r="GD57" s="60"/>
      <c r="GE57" s="60"/>
      <c r="GF57" s="60"/>
      <c r="GG57" s="60"/>
      <c r="GH57" s="60"/>
      <c r="GI57" s="60"/>
      <c r="GJ57" s="60"/>
      <c r="GK57" s="60"/>
      <c r="GL57" s="60"/>
      <c r="GM57" s="60"/>
      <c r="GN57" s="60"/>
      <c r="GO57" s="60"/>
      <c r="GP57" s="56"/>
      <c r="GQ57" s="64"/>
      <c r="GR57" s="64"/>
      <c r="GS57" s="64"/>
      <c r="GT57" s="60"/>
      <c r="GU57" s="60"/>
      <c r="GV57" s="60"/>
      <c r="GW57" s="60"/>
      <c r="GX57" s="60"/>
      <c r="GY57" s="60"/>
      <c r="GZ57" s="62"/>
      <c r="HA57" s="62"/>
      <c r="HB57" s="62"/>
      <c r="HC57" s="62"/>
      <c r="HD57" s="62"/>
      <c r="HE57" s="62"/>
      <c r="HF57" s="62"/>
      <c r="HG57" s="62"/>
      <c r="HH57" s="62"/>
      <c r="HI57" s="62"/>
      <c r="HJ57" s="56"/>
      <c r="HK57" s="58"/>
      <c r="HL57" s="58"/>
      <c r="HM57" s="58"/>
      <c r="HN57" s="62"/>
      <c r="HO57" s="62"/>
      <c r="HP57" s="62"/>
      <c r="HQ57" s="62"/>
      <c r="HR57" s="62"/>
      <c r="HS57" s="62"/>
      <c r="HT57" s="62"/>
      <c r="HU57" s="62"/>
      <c r="HV57" s="62"/>
      <c r="HW57" s="62"/>
      <c r="HX57" s="62"/>
      <c r="HY57" s="62"/>
      <c r="HZ57" s="62"/>
      <c r="IA57" s="62"/>
      <c r="IB57" s="62"/>
      <c r="IC57" s="62"/>
      <c r="ID57" s="4"/>
      <c r="IF57" s="23"/>
      <c r="IG57" s="28"/>
      <c r="IH57" s="28" t="s">
        <v>96</v>
      </c>
      <c r="II57" s="29">
        <f t="shared" si="14"/>
        <v>6</v>
      </c>
      <c r="IJ57" s="29" t="str">
        <f t="shared" si="15"/>
        <v>Color6</v>
      </c>
      <c r="IK57" s="8">
        <f t="shared" si="16"/>
        <v>300</v>
      </c>
      <c r="IL57" s="23"/>
    </row>
    <row r="58" spans="1:246" ht="14.25" thickBot="1" x14ac:dyDescent="0.2">
      <c r="A58" s="223"/>
      <c r="B58" s="6" t="s">
        <v>48</v>
      </c>
      <c r="C58" s="7" t="str">
        <f t="shared" si="5"/>
        <v/>
      </c>
      <c r="D58" s="91" t="s">
        <v>207</v>
      </c>
      <c r="E58" s="103" t="s">
        <v>183</v>
      </c>
      <c r="F58" s="93">
        <v>44872</v>
      </c>
      <c r="G58" s="113">
        <v>2</v>
      </c>
      <c r="H58" s="94">
        <v>0</v>
      </c>
      <c r="I58" s="95">
        <v>100</v>
      </c>
      <c r="J58" s="96"/>
      <c r="K58" s="175" t="s">
        <v>208</v>
      </c>
      <c r="L58" s="158">
        <v>44879</v>
      </c>
      <c r="M58" s="159">
        <v>3</v>
      </c>
      <c r="N58" s="159">
        <v>0</v>
      </c>
      <c r="O58" s="160">
        <v>300</v>
      </c>
      <c r="P58" s="169">
        <v>80</v>
      </c>
      <c r="Q58" s="21"/>
      <c r="R58" s="56"/>
      <c r="S58" s="58"/>
      <c r="T58" s="58"/>
      <c r="U58" s="58"/>
      <c r="V58" s="64"/>
      <c r="W58" s="60"/>
      <c r="X58" s="60"/>
      <c r="Y58" s="60"/>
      <c r="Z58" s="60"/>
      <c r="AA58" s="60"/>
      <c r="AB58" s="60"/>
      <c r="AC58" s="60"/>
      <c r="AD58" s="60"/>
      <c r="AE58" s="60"/>
      <c r="AF58" s="60"/>
      <c r="AG58" s="62"/>
      <c r="AH58" s="62"/>
      <c r="AI58" s="60"/>
      <c r="AJ58" s="60"/>
      <c r="AK58" s="60"/>
      <c r="AL58" s="56"/>
      <c r="AM58" s="58"/>
      <c r="AN58" s="58"/>
      <c r="AO58" s="58"/>
      <c r="AP58" s="62"/>
      <c r="AQ58" s="62"/>
      <c r="AR58" s="62"/>
      <c r="AS58" s="62"/>
      <c r="AT58" s="62"/>
      <c r="AU58" s="62"/>
      <c r="AV58" s="60"/>
      <c r="AW58" s="60"/>
      <c r="AX58" s="60"/>
      <c r="AY58" s="60"/>
      <c r="AZ58" s="60"/>
      <c r="BA58" s="60"/>
      <c r="BB58" s="60"/>
      <c r="BC58" s="60"/>
      <c r="BD58" s="60"/>
      <c r="BE58" s="60"/>
      <c r="BF58" s="56"/>
      <c r="BG58" s="58"/>
      <c r="BH58" s="58"/>
      <c r="BI58" s="58"/>
      <c r="BJ58" s="62"/>
      <c r="BK58" s="60"/>
      <c r="BL58" s="60"/>
      <c r="BM58" s="60"/>
      <c r="BN58" s="60"/>
      <c r="BO58" s="60"/>
      <c r="BP58" s="60"/>
      <c r="BQ58" s="60"/>
      <c r="BR58" s="60"/>
      <c r="BS58" s="60"/>
      <c r="BT58" s="60"/>
      <c r="BU58" s="60"/>
      <c r="BV58" s="60"/>
      <c r="BW58" s="60"/>
      <c r="BX58" s="60"/>
      <c r="BY58" s="60"/>
      <c r="BZ58" s="56"/>
      <c r="CA58" s="58"/>
      <c r="CB58" s="58"/>
      <c r="CC58" s="64"/>
      <c r="CD58" s="64"/>
      <c r="CE58" s="60"/>
      <c r="CF58" s="60"/>
      <c r="CG58" s="60"/>
      <c r="CH58" s="60"/>
      <c r="CI58" s="60"/>
      <c r="CJ58" s="60"/>
      <c r="CK58" s="60"/>
      <c r="CL58" s="60"/>
      <c r="CM58" s="60"/>
      <c r="CN58" s="60"/>
      <c r="CO58" s="60"/>
      <c r="CP58" s="60"/>
      <c r="CQ58" s="60"/>
      <c r="CR58" s="60"/>
      <c r="CS58" s="60"/>
      <c r="CT58" s="56"/>
      <c r="CU58" s="64"/>
      <c r="CV58" s="64"/>
      <c r="CW58" s="64"/>
      <c r="CX58" s="64"/>
      <c r="CY58" s="60"/>
      <c r="CZ58" s="60"/>
      <c r="DA58" s="60"/>
      <c r="DB58" s="60"/>
      <c r="DC58" s="60"/>
      <c r="DD58" s="60"/>
      <c r="DE58" s="60"/>
      <c r="DF58" s="60"/>
      <c r="DG58" s="60"/>
      <c r="DH58" s="60"/>
      <c r="DI58" s="60"/>
      <c r="DJ58" s="60"/>
      <c r="DK58" s="60"/>
      <c r="DL58" s="60"/>
      <c r="DM58" s="60"/>
      <c r="DN58" s="56"/>
      <c r="DO58" s="58"/>
      <c r="DP58" s="58"/>
      <c r="DQ58" s="64"/>
      <c r="DR58" s="60"/>
      <c r="DS58" s="60"/>
      <c r="DT58" s="60"/>
      <c r="DU58" s="60"/>
      <c r="DV58" s="60"/>
      <c r="DW58" s="60"/>
      <c r="DX58" s="60"/>
      <c r="DY58" s="60"/>
      <c r="DZ58" s="60"/>
      <c r="EA58" s="60"/>
      <c r="EB58" s="60"/>
      <c r="EC58" s="62"/>
      <c r="ED58" s="62"/>
      <c r="EE58" s="60"/>
      <c r="EF58" s="60"/>
      <c r="EG58" s="60"/>
      <c r="EH58" s="56"/>
      <c r="EI58" s="58"/>
      <c r="EJ58" s="58"/>
      <c r="EK58" s="64"/>
      <c r="EL58" s="60"/>
      <c r="EM58" s="60"/>
      <c r="EN58" s="60"/>
      <c r="EO58" s="60"/>
      <c r="EP58" s="60"/>
      <c r="EQ58" s="60"/>
      <c r="ER58" s="60"/>
      <c r="ES58" s="60"/>
      <c r="ET58" s="60"/>
      <c r="EU58" s="60"/>
      <c r="EV58" s="60"/>
      <c r="EW58" s="60"/>
      <c r="EX58" s="60"/>
      <c r="EY58" s="60"/>
      <c r="EZ58" s="60"/>
      <c r="FA58" s="60"/>
      <c r="FB58" s="56"/>
      <c r="FC58" s="64"/>
      <c r="FD58" s="64"/>
      <c r="FE58" s="64"/>
      <c r="FF58" s="60"/>
      <c r="FG58" s="60"/>
      <c r="FH58" s="60"/>
      <c r="FI58" s="60"/>
      <c r="FJ58" s="60"/>
      <c r="FK58" s="60"/>
      <c r="FL58" s="60"/>
      <c r="FM58" s="60"/>
      <c r="FN58" s="60"/>
      <c r="FO58" s="60"/>
      <c r="FP58" s="60"/>
      <c r="FQ58" s="60"/>
      <c r="FR58" s="60"/>
      <c r="FS58" s="60"/>
      <c r="FT58" s="60"/>
      <c r="FU58" s="60"/>
      <c r="FV58" s="56"/>
      <c r="FW58" s="64"/>
      <c r="FX58" s="64"/>
      <c r="FY58" s="64"/>
      <c r="FZ58" s="60"/>
      <c r="GA58" s="60"/>
      <c r="GB58" s="60"/>
      <c r="GC58" s="60"/>
      <c r="GD58" s="60"/>
      <c r="GE58" s="60"/>
      <c r="GF58" s="60"/>
      <c r="GG58" s="60"/>
      <c r="GH58" s="60"/>
      <c r="GI58" s="60"/>
      <c r="GJ58" s="60"/>
      <c r="GK58" s="60"/>
      <c r="GL58" s="60"/>
      <c r="GM58" s="60"/>
      <c r="GN58" s="60"/>
      <c r="GO58" s="60"/>
      <c r="GP58" s="56"/>
      <c r="GQ58" s="64"/>
      <c r="GR58" s="64"/>
      <c r="GS58" s="64"/>
      <c r="GT58" s="60"/>
      <c r="GU58" s="60"/>
      <c r="GV58" s="60"/>
      <c r="GW58" s="60"/>
      <c r="GX58" s="60"/>
      <c r="GY58" s="60"/>
      <c r="GZ58" s="62"/>
      <c r="HA58" s="62"/>
      <c r="HB58" s="62"/>
      <c r="HC58" s="62"/>
      <c r="HD58" s="62"/>
      <c r="HE58" s="62"/>
      <c r="HF58" s="62"/>
      <c r="HG58" s="62"/>
      <c r="HH58" s="62"/>
      <c r="HI58" s="62"/>
      <c r="HJ58" s="56"/>
      <c r="HK58" s="58"/>
      <c r="HL58" s="58"/>
      <c r="HM58" s="58"/>
      <c r="HN58" s="62"/>
      <c r="HO58" s="62"/>
      <c r="HP58" s="62"/>
      <c r="HQ58" s="62"/>
      <c r="HR58" s="62"/>
      <c r="HS58" s="62"/>
      <c r="HT58" s="62"/>
      <c r="HU58" s="62"/>
      <c r="HV58" s="62"/>
      <c r="HW58" s="62"/>
      <c r="HX58" s="62"/>
      <c r="HY58" s="62"/>
      <c r="HZ58" s="62"/>
      <c r="IA58" s="62"/>
      <c r="IB58" s="62"/>
      <c r="IC58" s="62"/>
      <c r="ID58" s="4"/>
      <c r="IF58" s="23"/>
      <c r="IG58" s="28"/>
      <c r="IH58" s="28" t="s">
        <v>96</v>
      </c>
      <c r="II58" s="29">
        <f t="shared" si="14"/>
        <v>2</v>
      </c>
      <c r="IJ58" s="29" t="str">
        <f t="shared" si="15"/>
        <v>Color2</v>
      </c>
      <c r="IK58" s="8">
        <f t="shared" si="16"/>
        <v>300</v>
      </c>
      <c r="IL58" s="23"/>
    </row>
    <row r="59" spans="1:246" ht="14.25" thickBot="1" x14ac:dyDescent="0.2">
      <c r="A59" s="225"/>
      <c r="B59" s="74" t="s">
        <v>49</v>
      </c>
      <c r="C59" s="75" t="str">
        <f t="shared" si="5"/>
        <v/>
      </c>
      <c r="D59" s="104" t="s">
        <v>207</v>
      </c>
      <c r="E59" s="105" t="s">
        <v>181</v>
      </c>
      <c r="F59" s="275">
        <v>44872</v>
      </c>
      <c r="G59" s="113">
        <v>2</v>
      </c>
      <c r="H59" s="276">
        <v>0</v>
      </c>
      <c r="I59" s="108">
        <v>100</v>
      </c>
      <c r="J59" s="109"/>
      <c r="K59" s="277" t="s">
        <v>208</v>
      </c>
      <c r="L59" s="161">
        <v>44879</v>
      </c>
      <c r="M59" s="162">
        <v>3</v>
      </c>
      <c r="N59" s="162">
        <v>0</v>
      </c>
      <c r="O59" s="163">
        <v>300</v>
      </c>
      <c r="P59" s="170">
        <v>80</v>
      </c>
      <c r="Q59" s="76"/>
      <c r="R59" s="77"/>
      <c r="S59" s="78"/>
      <c r="T59" s="78"/>
      <c r="U59" s="78"/>
      <c r="V59" s="81"/>
      <c r="W59" s="79"/>
      <c r="X59" s="79"/>
      <c r="Y59" s="79"/>
      <c r="Z59" s="79"/>
      <c r="AA59" s="79"/>
      <c r="AB59" s="79"/>
      <c r="AC59" s="79"/>
      <c r="AD59" s="79"/>
      <c r="AE59" s="79"/>
      <c r="AF59" s="79"/>
      <c r="AG59" s="80"/>
      <c r="AH59" s="80"/>
      <c r="AI59" s="79"/>
      <c r="AJ59" s="79"/>
      <c r="AK59" s="79"/>
      <c r="AL59" s="77"/>
      <c r="AM59" s="78"/>
      <c r="AN59" s="78"/>
      <c r="AO59" s="78"/>
      <c r="AP59" s="80"/>
      <c r="AQ59" s="80"/>
      <c r="AR59" s="80"/>
      <c r="AS59" s="80"/>
      <c r="AT59" s="80"/>
      <c r="AU59" s="80"/>
      <c r="AV59" s="79"/>
      <c r="AW59" s="79"/>
      <c r="AX59" s="79"/>
      <c r="AY59" s="79"/>
      <c r="AZ59" s="79"/>
      <c r="BA59" s="79"/>
      <c r="BB59" s="79"/>
      <c r="BC59" s="79"/>
      <c r="BD59" s="79"/>
      <c r="BE59" s="79"/>
      <c r="BF59" s="77"/>
      <c r="BG59" s="78"/>
      <c r="BH59" s="78"/>
      <c r="BI59" s="78"/>
      <c r="BJ59" s="80"/>
      <c r="BK59" s="79"/>
      <c r="BL59" s="79"/>
      <c r="BM59" s="79"/>
      <c r="BN59" s="79"/>
      <c r="BO59" s="79"/>
      <c r="BP59" s="79"/>
      <c r="BQ59" s="79"/>
      <c r="BR59" s="79"/>
      <c r="BS59" s="79"/>
      <c r="BT59" s="79"/>
      <c r="BU59" s="79"/>
      <c r="BV59" s="79"/>
      <c r="BW59" s="79"/>
      <c r="BX59" s="79"/>
      <c r="BY59" s="79"/>
      <c r="BZ59" s="77"/>
      <c r="CA59" s="78"/>
      <c r="CB59" s="78"/>
      <c r="CC59" s="81"/>
      <c r="CD59" s="81"/>
      <c r="CE59" s="79"/>
      <c r="CF59" s="79"/>
      <c r="CG59" s="79"/>
      <c r="CH59" s="79"/>
      <c r="CI59" s="79"/>
      <c r="CJ59" s="79"/>
      <c r="CK59" s="79"/>
      <c r="CL59" s="79"/>
      <c r="CM59" s="79"/>
      <c r="CN59" s="79"/>
      <c r="CO59" s="79"/>
      <c r="CP59" s="79"/>
      <c r="CQ59" s="79"/>
      <c r="CR59" s="79"/>
      <c r="CS59" s="79"/>
      <c r="CT59" s="77"/>
      <c r="CU59" s="81"/>
      <c r="CV59" s="81"/>
      <c r="CW59" s="81"/>
      <c r="CX59" s="81"/>
      <c r="CY59" s="79"/>
      <c r="CZ59" s="79"/>
      <c r="DA59" s="79"/>
      <c r="DB59" s="79"/>
      <c r="DC59" s="79"/>
      <c r="DD59" s="79"/>
      <c r="DE59" s="79"/>
      <c r="DF59" s="79"/>
      <c r="DG59" s="79"/>
      <c r="DH59" s="79"/>
      <c r="DI59" s="79"/>
      <c r="DJ59" s="79"/>
      <c r="DK59" s="79"/>
      <c r="DL59" s="79"/>
      <c r="DM59" s="79"/>
      <c r="DN59" s="77"/>
      <c r="DO59" s="78"/>
      <c r="DP59" s="78"/>
      <c r="DQ59" s="81"/>
      <c r="DR59" s="79"/>
      <c r="DS59" s="79"/>
      <c r="DT59" s="79"/>
      <c r="DU59" s="79"/>
      <c r="DV59" s="79"/>
      <c r="DW59" s="79"/>
      <c r="DX59" s="79"/>
      <c r="DY59" s="79"/>
      <c r="DZ59" s="79"/>
      <c r="EA59" s="79"/>
      <c r="EB59" s="79"/>
      <c r="EC59" s="80"/>
      <c r="ED59" s="80"/>
      <c r="EE59" s="79"/>
      <c r="EF59" s="79"/>
      <c r="EG59" s="79"/>
      <c r="EH59" s="77"/>
      <c r="EI59" s="78"/>
      <c r="EJ59" s="78"/>
      <c r="EK59" s="81"/>
      <c r="EL59" s="79"/>
      <c r="EM59" s="79"/>
      <c r="EN59" s="79"/>
      <c r="EO59" s="79"/>
      <c r="EP59" s="79"/>
      <c r="EQ59" s="79"/>
      <c r="ER59" s="79"/>
      <c r="ES59" s="79"/>
      <c r="ET59" s="79"/>
      <c r="EU59" s="79"/>
      <c r="EV59" s="79"/>
      <c r="EW59" s="79"/>
      <c r="EX59" s="79"/>
      <c r="EY59" s="79"/>
      <c r="EZ59" s="79"/>
      <c r="FA59" s="79"/>
      <c r="FB59" s="77"/>
      <c r="FC59" s="81"/>
      <c r="FD59" s="81"/>
      <c r="FE59" s="81"/>
      <c r="FF59" s="79"/>
      <c r="FG59" s="79"/>
      <c r="FH59" s="79"/>
      <c r="FI59" s="79"/>
      <c r="FJ59" s="79"/>
      <c r="FK59" s="79"/>
      <c r="FL59" s="79"/>
      <c r="FM59" s="79"/>
      <c r="FN59" s="79"/>
      <c r="FO59" s="79"/>
      <c r="FP59" s="79"/>
      <c r="FQ59" s="79"/>
      <c r="FR59" s="79"/>
      <c r="FS59" s="79"/>
      <c r="FT59" s="79"/>
      <c r="FU59" s="79"/>
      <c r="FV59" s="77"/>
      <c r="FW59" s="81"/>
      <c r="FX59" s="81"/>
      <c r="FY59" s="81"/>
      <c r="FZ59" s="79"/>
      <c r="GA59" s="79"/>
      <c r="GB59" s="79"/>
      <c r="GC59" s="79"/>
      <c r="GD59" s="79"/>
      <c r="GE59" s="79"/>
      <c r="GF59" s="79"/>
      <c r="GG59" s="79"/>
      <c r="GH59" s="79"/>
      <c r="GI59" s="79"/>
      <c r="GJ59" s="79"/>
      <c r="GK59" s="79"/>
      <c r="GL59" s="79"/>
      <c r="GM59" s="79"/>
      <c r="GN59" s="79"/>
      <c r="GO59" s="79"/>
      <c r="GP59" s="77"/>
      <c r="GQ59" s="81"/>
      <c r="GR59" s="81"/>
      <c r="GS59" s="81"/>
      <c r="GT59" s="79"/>
      <c r="GU59" s="79"/>
      <c r="GV59" s="79"/>
      <c r="GW59" s="79"/>
      <c r="GX59" s="79"/>
      <c r="GY59" s="79"/>
      <c r="GZ59" s="80"/>
      <c r="HA59" s="80"/>
      <c r="HB59" s="80"/>
      <c r="HC59" s="80"/>
      <c r="HD59" s="80"/>
      <c r="HE59" s="80"/>
      <c r="HF59" s="80"/>
      <c r="HG59" s="80"/>
      <c r="HH59" s="80"/>
      <c r="HI59" s="80"/>
      <c r="HJ59" s="77"/>
      <c r="HK59" s="78"/>
      <c r="HL59" s="78"/>
      <c r="HM59" s="78"/>
      <c r="HN59" s="80"/>
      <c r="HO59" s="80"/>
      <c r="HP59" s="80"/>
      <c r="HQ59" s="80"/>
      <c r="HR59" s="80"/>
      <c r="HS59" s="80"/>
      <c r="HT59" s="80"/>
      <c r="HU59" s="80"/>
      <c r="HV59" s="80"/>
      <c r="HW59" s="80"/>
      <c r="HX59" s="80"/>
      <c r="HY59" s="80"/>
      <c r="HZ59" s="80"/>
      <c r="IA59" s="80"/>
      <c r="IB59" s="80"/>
      <c r="IC59" s="80"/>
      <c r="ID59" s="4"/>
      <c r="IF59" s="23"/>
      <c r="IG59" s="28"/>
      <c r="IH59" s="28" t="s">
        <v>96</v>
      </c>
      <c r="II59" s="29">
        <f t="shared" si="14"/>
        <v>1</v>
      </c>
      <c r="IJ59" s="29" t="str">
        <f t="shared" si="15"/>
        <v>Color1</v>
      </c>
      <c r="IK59" s="9">
        <f t="shared" si="16"/>
        <v>300</v>
      </c>
      <c r="IL59" s="23"/>
    </row>
    <row r="60" spans="1:246" ht="2.25" customHeight="1" thickBot="1" x14ac:dyDescent="0.2">
      <c r="A60" s="73"/>
      <c r="B60" s="72"/>
      <c r="C60" s="71"/>
      <c r="D60" s="92"/>
      <c r="E60" s="92"/>
      <c r="F60" s="99"/>
      <c r="G60" s="100"/>
      <c r="H60" s="101"/>
      <c r="I60" s="102"/>
      <c r="J60" s="100"/>
      <c r="K60" s="148"/>
      <c r="L60" s="99"/>
      <c r="M60" s="100"/>
      <c r="N60" s="100"/>
      <c r="O60" s="102"/>
      <c r="P60" s="168"/>
      <c r="Q60" s="22"/>
      <c r="R60" s="56"/>
      <c r="S60" s="58"/>
      <c r="T60" s="58"/>
      <c r="U60" s="58"/>
      <c r="V60" s="64"/>
      <c r="W60" s="60"/>
      <c r="X60" s="60"/>
      <c r="Y60" s="60"/>
      <c r="Z60" s="60"/>
      <c r="AA60" s="60"/>
      <c r="AB60" s="60"/>
      <c r="AC60" s="60"/>
      <c r="AD60" s="60"/>
      <c r="AE60" s="60"/>
      <c r="AF60" s="60"/>
      <c r="AG60" s="62"/>
      <c r="AH60" s="62"/>
      <c r="AI60" s="60"/>
      <c r="AJ60" s="60"/>
      <c r="AK60" s="60"/>
      <c r="AL60" s="56"/>
      <c r="AM60" s="58"/>
      <c r="AN60" s="58"/>
      <c r="AO60" s="58"/>
      <c r="AP60" s="62"/>
      <c r="AQ60" s="62"/>
      <c r="AR60" s="62"/>
      <c r="AS60" s="62"/>
      <c r="AT60" s="62"/>
      <c r="AU60" s="62"/>
      <c r="AV60" s="60"/>
      <c r="AW60" s="60"/>
      <c r="AX60" s="60"/>
      <c r="AY60" s="60"/>
      <c r="AZ60" s="60"/>
      <c r="BA60" s="60"/>
      <c r="BB60" s="60"/>
      <c r="BC60" s="60"/>
      <c r="BD60" s="60"/>
      <c r="BE60" s="60"/>
      <c r="BF60" s="56"/>
      <c r="BG60" s="58"/>
      <c r="BH60" s="58"/>
      <c r="BI60" s="58"/>
      <c r="BJ60" s="62"/>
      <c r="BK60" s="60"/>
      <c r="BL60" s="60"/>
      <c r="BM60" s="60"/>
      <c r="BN60" s="60"/>
      <c r="BO60" s="60"/>
      <c r="BP60" s="60"/>
      <c r="BQ60" s="60"/>
      <c r="BR60" s="60"/>
      <c r="BS60" s="60"/>
      <c r="BT60" s="60"/>
      <c r="BU60" s="60"/>
      <c r="BV60" s="60"/>
      <c r="BW60" s="60"/>
      <c r="BX60" s="60"/>
      <c r="BY60" s="60"/>
      <c r="BZ60" s="56"/>
      <c r="CA60" s="58"/>
      <c r="CB60" s="58"/>
      <c r="CC60" s="64"/>
      <c r="CD60" s="64"/>
      <c r="CE60" s="60"/>
      <c r="CF60" s="60"/>
      <c r="CG60" s="60"/>
      <c r="CH60" s="60"/>
      <c r="CI60" s="60"/>
      <c r="CJ60" s="60"/>
      <c r="CK60" s="60"/>
      <c r="CL60" s="60"/>
      <c r="CM60" s="60"/>
      <c r="CN60" s="60"/>
      <c r="CO60" s="60"/>
      <c r="CP60" s="60"/>
      <c r="CQ60" s="60"/>
      <c r="CR60" s="60"/>
      <c r="CS60" s="60"/>
      <c r="CT60" s="56"/>
      <c r="CU60" s="64"/>
      <c r="CV60" s="64"/>
      <c r="CW60" s="64"/>
      <c r="CX60" s="64"/>
      <c r="CY60" s="60"/>
      <c r="CZ60" s="60"/>
      <c r="DA60" s="60"/>
      <c r="DB60" s="60"/>
      <c r="DC60" s="60"/>
      <c r="DD60" s="60"/>
      <c r="DE60" s="60"/>
      <c r="DF60" s="60"/>
      <c r="DG60" s="60"/>
      <c r="DH60" s="60"/>
      <c r="DI60" s="60"/>
      <c r="DJ60" s="60"/>
      <c r="DK60" s="60"/>
      <c r="DL60" s="60"/>
      <c r="DM60" s="60"/>
      <c r="DN60" s="56"/>
      <c r="DO60" s="58"/>
      <c r="DP60" s="58"/>
      <c r="DQ60" s="64"/>
      <c r="DR60" s="60"/>
      <c r="DS60" s="60"/>
      <c r="DT60" s="60"/>
      <c r="DU60" s="60"/>
      <c r="DV60" s="60"/>
      <c r="DW60" s="60"/>
      <c r="DX60" s="60"/>
      <c r="DY60" s="60"/>
      <c r="DZ60" s="60"/>
      <c r="EA60" s="60"/>
      <c r="EB60" s="60"/>
      <c r="EC60" s="62"/>
      <c r="ED60" s="62"/>
      <c r="EE60" s="60"/>
      <c r="EF60" s="60"/>
      <c r="EG60" s="60"/>
      <c r="EH60" s="56"/>
      <c r="EI60" s="58"/>
      <c r="EJ60" s="58"/>
      <c r="EK60" s="64"/>
      <c r="EL60" s="60"/>
      <c r="EM60" s="60"/>
      <c r="EN60" s="60"/>
      <c r="EO60" s="60"/>
      <c r="EP60" s="60"/>
      <c r="EQ60" s="60"/>
      <c r="ER60" s="60"/>
      <c r="ES60" s="60"/>
      <c r="ET60" s="60"/>
      <c r="EU60" s="60"/>
      <c r="EV60" s="60"/>
      <c r="EW60" s="60"/>
      <c r="EX60" s="60"/>
      <c r="EY60" s="60"/>
      <c r="EZ60" s="60"/>
      <c r="FA60" s="60"/>
      <c r="FB60" s="56"/>
      <c r="FC60" s="64"/>
      <c r="FD60" s="64"/>
      <c r="FE60" s="64"/>
      <c r="FF60" s="60"/>
      <c r="FG60" s="60"/>
      <c r="FH60" s="60"/>
      <c r="FI60" s="60"/>
      <c r="FJ60" s="60"/>
      <c r="FK60" s="60"/>
      <c r="FL60" s="60"/>
      <c r="FM60" s="60"/>
      <c r="FN60" s="60"/>
      <c r="FO60" s="60"/>
      <c r="FP60" s="60"/>
      <c r="FQ60" s="60"/>
      <c r="FR60" s="60"/>
      <c r="FS60" s="60"/>
      <c r="FT60" s="60"/>
      <c r="FU60" s="60"/>
      <c r="FV60" s="56"/>
      <c r="FW60" s="64"/>
      <c r="FX60" s="64"/>
      <c r="FY60" s="64"/>
      <c r="FZ60" s="60"/>
      <c r="GA60" s="60"/>
      <c r="GB60" s="60"/>
      <c r="GC60" s="60"/>
      <c r="GD60" s="60"/>
      <c r="GE60" s="60"/>
      <c r="GF60" s="60"/>
      <c r="GG60" s="60"/>
      <c r="GH60" s="60"/>
      <c r="GI60" s="60"/>
      <c r="GJ60" s="60"/>
      <c r="GK60" s="60"/>
      <c r="GL60" s="60"/>
      <c r="GM60" s="60"/>
      <c r="GN60" s="60"/>
      <c r="GO60" s="60"/>
      <c r="GP60" s="56"/>
      <c r="GQ60" s="64"/>
      <c r="GR60" s="64"/>
      <c r="GS60" s="64"/>
      <c r="GT60" s="60"/>
      <c r="GU60" s="60"/>
      <c r="GV60" s="60"/>
      <c r="GW60" s="60"/>
      <c r="GX60" s="60"/>
      <c r="GY60" s="60"/>
      <c r="GZ60" s="62"/>
      <c r="HA60" s="62"/>
      <c r="HB60" s="62"/>
      <c r="HC60" s="62"/>
      <c r="HD60" s="62"/>
      <c r="HE60" s="62"/>
      <c r="HF60" s="62"/>
      <c r="HG60" s="62"/>
      <c r="HH60" s="62"/>
      <c r="HI60" s="62"/>
      <c r="HJ60" s="56"/>
      <c r="HK60" s="58"/>
      <c r="HL60" s="58"/>
      <c r="HM60" s="58"/>
      <c r="HN60" s="62"/>
      <c r="HO60" s="62"/>
      <c r="HP60" s="62"/>
      <c r="HQ60" s="62"/>
      <c r="HR60" s="62"/>
      <c r="HS60" s="62"/>
      <c r="HT60" s="62"/>
      <c r="HU60" s="62"/>
      <c r="HV60" s="62"/>
      <c r="HW60" s="62"/>
      <c r="HX60" s="62"/>
      <c r="HY60" s="62"/>
      <c r="HZ60" s="62"/>
      <c r="IA60" s="62"/>
      <c r="IB60" s="62"/>
      <c r="IC60" s="62"/>
      <c r="ID60" s="4"/>
      <c r="IF60" s="23"/>
      <c r="IG60" s="28"/>
      <c r="IH60" s="28"/>
      <c r="II60" s="29"/>
      <c r="IJ60" s="121"/>
      <c r="IK60" s="70"/>
      <c r="IL60" s="23"/>
    </row>
    <row r="61" spans="1:246" ht="14.25" thickBot="1" x14ac:dyDescent="0.2">
      <c r="A61" s="222" t="s">
        <v>75</v>
      </c>
      <c r="B61" s="83" t="s">
        <v>20</v>
      </c>
      <c r="C61" s="69" t="str">
        <f>IF(P61=100,"*","")</f>
        <v/>
      </c>
      <c r="D61" s="110" t="s">
        <v>209</v>
      </c>
      <c r="E61" s="111" t="s">
        <v>184</v>
      </c>
      <c r="F61" s="112">
        <v>44893</v>
      </c>
      <c r="G61" s="113">
        <v>1</v>
      </c>
      <c r="H61" s="113">
        <v>0</v>
      </c>
      <c r="I61" s="114">
        <v>400</v>
      </c>
      <c r="J61" s="115"/>
      <c r="K61" s="176" t="s">
        <v>175</v>
      </c>
      <c r="L61" s="164">
        <v>44893</v>
      </c>
      <c r="M61" s="165">
        <v>2</v>
      </c>
      <c r="N61" s="165">
        <v>90</v>
      </c>
      <c r="O61" s="166"/>
      <c r="P61" s="171"/>
      <c r="Q61" s="84"/>
      <c r="R61" s="85"/>
      <c r="S61" s="86"/>
      <c r="T61" s="86"/>
      <c r="U61" s="86"/>
      <c r="V61" s="89"/>
      <c r="W61" s="87"/>
      <c r="X61" s="87"/>
      <c r="Y61" s="87"/>
      <c r="Z61" s="87"/>
      <c r="AA61" s="87"/>
      <c r="AB61" s="87"/>
      <c r="AC61" s="87"/>
      <c r="AD61" s="87"/>
      <c r="AE61" s="87"/>
      <c r="AF61" s="87"/>
      <c r="AG61" s="88"/>
      <c r="AH61" s="88"/>
      <c r="AI61" s="87"/>
      <c r="AJ61" s="87"/>
      <c r="AK61" s="87"/>
      <c r="AL61" s="85"/>
      <c r="AM61" s="86"/>
      <c r="AN61" s="86"/>
      <c r="AO61" s="86"/>
      <c r="AP61" s="88"/>
      <c r="AQ61" s="88"/>
      <c r="AR61" s="88"/>
      <c r="AS61" s="88"/>
      <c r="AT61" s="88"/>
      <c r="AU61" s="88"/>
      <c r="AV61" s="87"/>
      <c r="AW61" s="87"/>
      <c r="AX61" s="87"/>
      <c r="AY61" s="87"/>
      <c r="AZ61" s="87"/>
      <c r="BA61" s="87"/>
      <c r="BB61" s="87"/>
      <c r="BC61" s="87"/>
      <c r="BD61" s="87"/>
      <c r="BE61" s="87"/>
      <c r="BF61" s="85"/>
      <c r="BG61" s="86"/>
      <c r="BH61" s="86"/>
      <c r="BI61" s="86"/>
      <c r="BJ61" s="88"/>
      <c r="BK61" s="87"/>
      <c r="BL61" s="87"/>
      <c r="BM61" s="87"/>
      <c r="BN61" s="87"/>
      <c r="BO61" s="87"/>
      <c r="BP61" s="87"/>
      <c r="BQ61" s="87"/>
      <c r="BR61" s="87"/>
      <c r="BS61" s="87"/>
      <c r="BT61" s="87"/>
      <c r="BU61" s="87"/>
      <c r="BV61" s="87"/>
      <c r="BW61" s="87"/>
      <c r="BX61" s="87"/>
      <c r="BY61" s="87"/>
      <c r="BZ61" s="85"/>
      <c r="CA61" s="86"/>
      <c r="CB61" s="86"/>
      <c r="CC61" s="89"/>
      <c r="CD61" s="89"/>
      <c r="CE61" s="87"/>
      <c r="CF61" s="87"/>
      <c r="CG61" s="87"/>
      <c r="CH61" s="87"/>
      <c r="CI61" s="87"/>
      <c r="CJ61" s="87"/>
      <c r="CK61" s="87"/>
      <c r="CL61" s="87"/>
      <c r="CM61" s="87"/>
      <c r="CN61" s="87"/>
      <c r="CO61" s="87"/>
      <c r="CP61" s="87"/>
      <c r="CQ61" s="87"/>
      <c r="CR61" s="87"/>
      <c r="CS61" s="87"/>
      <c r="CT61" s="85"/>
      <c r="CU61" s="89"/>
      <c r="CV61" s="89"/>
      <c r="CW61" s="89"/>
      <c r="CX61" s="89"/>
      <c r="CY61" s="87"/>
      <c r="CZ61" s="87"/>
      <c r="DA61" s="87"/>
      <c r="DB61" s="87"/>
      <c r="DC61" s="87"/>
      <c r="DD61" s="87"/>
      <c r="DE61" s="87"/>
      <c r="DF61" s="87"/>
      <c r="DG61" s="87"/>
      <c r="DH61" s="87"/>
      <c r="DI61" s="87"/>
      <c r="DJ61" s="87"/>
      <c r="DK61" s="87"/>
      <c r="DL61" s="87"/>
      <c r="DM61" s="87"/>
      <c r="DN61" s="85"/>
      <c r="DO61" s="86"/>
      <c r="DP61" s="86"/>
      <c r="DQ61" s="89"/>
      <c r="DR61" s="87"/>
      <c r="DS61" s="87"/>
      <c r="DT61" s="87"/>
      <c r="DU61" s="87"/>
      <c r="DV61" s="87"/>
      <c r="DW61" s="87"/>
      <c r="DX61" s="87"/>
      <c r="DY61" s="87"/>
      <c r="DZ61" s="87"/>
      <c r="EA61" s="87"/>
      <c r="EB61" s="87"/>
      <c r="EC61" s="88"/>
      <c r="ED61" s="88"/>
      <c r="EE61" s="87"/>
      <c r="EF61" s="87"/>
      <c r="EG61" s="87"/>
      <c r="EH61" s="85"/>
      <c r="EI61" s="86"/>
      <c r="EJ61" s="86"/>
      <c r="EK61" s="89"/>
      <c r="EL61" s="87"/>
      <c r="EM61" s="87"/>
      <c r="EN61" s="87"/>
      <c r="EO61" s="87"/>
      <c r="EP61" s="87"/>
      <c r="EQ61" s="87"/>
      <c r="ER61" s="87"/>
      <c r="ES61" s="87"/>
      <c r="ET61" s="87"/>
      <c r="EU61" s="87"/>
      <c r="EV61" s="87"/>
      <c r="EW61" s="87"/>
      <c r="EX61" s="87"/>
      <c r="EY61" s="87"/>
      <c r="EZ61" s="87"/>
      <c r="FA61" s="87"/>
      <c r="FB61" s="85"/>
      <c r="FC61" s="89"/>
      <c r="FD61" s="89"/>
      <c r="FE61" s="89"/>
      <c r="FF61" s="87"/>
      <c r="FG61" s="87"/>
      <c r="FH61" s="87"/>
      <c r="FI61" s="87"/>
      <c r="FJ61" s="87"/>
      <c r="FK61" s="87"/>
      <c r="FL61" s="87"/>
      <c r="FM61" s="87"/>
      <c r="FN61" s="87"/>
      <c r="FO61" s="87"/>
      <c r="FP61" s="87"/>
      <c r="FQ61" s="87"/>
      <c r="FR61" s="87"/>
      <c r="FS61" s="87"/>
      <c r="FT61" s="87"/>
      <c r="FU61" s="87"/>
      <c r="FV61" s="85"/>
      <c r="FW61" s="89"/>
      <c r="FX61" s="89"/>
      <c r="FY61" s="89"/>
      <c r="FZ61" s="87"/>
      <c r="GA61" s="87"/>
      <c r="GB61" s="87"/>
      <c r="GC61" s="87"/>
      <c r="GD61" s="87"/>
      <c r="GE61" s="87"/>
      <c r="GF61" s="87"/>
      <c r="GG61" s="87"/>
      <c r="GH61" s="87"/>
      <c r="GI61" s="87"/>
      <c r="GJ61" s="87"/>
      <c r="GK61" s="87"/>
      <c r="GL61" s="87"/>
      <c r="GM61" s="87"/>
      <c r="GN61" s="87"/>
      <c r="GO61" s="87"/>
      <c r="GP61" s="85"/>
      <c r="GQ61" s="89"/>
      <c r="GR61" s="89"/>
      <c r="GS61" s="89"/>
      <c r="GT61" s="87"/>
      <c r="GU61" s="87"/>
      <c r="GV61" s="87"/>
      <c r="GW61" s="87"/>
      <c r="GX61" s="87"/>
      <c r="GY61" s="87"/>
      <c r="GZ61" s="88"/>
      <c r="HA61" s="88"/>
      <c r="HB61" s="88"/>
      <c r="HC61" s="88"/>
      <c r="HD61" s="88"/>
      <c r="HE61" s="88"/>
      <c r="HF61" s="88"/>
      <c r="HG61" s="88"/>
      <c r="HH61" s="88"/>
      <c r="HI61" s="88"/>
      <c r="HJ61" s="85"/>
      <c r="HK61" s="86"/>
      <c r="HL61" s="86"/>
      <c r="HM61" s="86"/>
      <c r="HN61" s="88"/>
      <c r="HO61" s="88"/>
      <c r="HP61" s="88"/>
      <c r="HQ61" s="88"/>
      <c r="HR61" s="88"/>
      <c r="HS61" s="88"/>
      <c r="HT61" s="88"/>
      <c r="HU61" s="88"/>
      <c r="HV61" s="88"/>
      <c r="HW61" s="88"/>
      <c r="HX61" s="88"/>
      <c r="HY61" s="88"/>
      <c r="HZ61" s="88"/>
      <c r="IA61" s="88"/>
      <c r="IB61" s="88"/>
      <c r="IC61" s="88"/>
      <c r="ID61" s="4"/>
      <c r="IF61" s="23"/>
      <c r="IG61" s="28"/>
      <c r="IH61" s="28" t="s">
        <v>97</v>
      </c>
      <c r="II61" s="29">
        <f t="shared" ref="II61:II70" si="17">IF(E61&lt;&gt;"",VLOOKUP(E61,$IM$12:$IN$20,2,FALSE),"")</f>
        <v>5</v>
      </c>
      <c r="IJ61" s="29" t="str">
        <f t="shared" ref="IJ61:IJ70" si="18">IF(II61&lt;&gt;"","Color"&amp;II61, "ColorNone")</f>
        <v>Color5</v>
      </c>
      <c r="IK61" s="5">
        <f t="shared" ref="IK61:IK70" si="19">IF(O61="",I61,O61)</f>
        <v>400</v>
      </c>
      <c r="IL61" s="23"/>
    </row>
    <row r="62" spans="1:246" ht="14.25" thickBot="1" x14ac:dyDescent="0.2">
      <c r="A62" s="223"/>
      <c r="B62" s="6" t="s">
        <v>21</v>
      </c>
      <c r="C62" s="7" t="str">
        <f t="shared" si="5"/>
        <v/>
      </c>
      <c r="D62" s="91" t="s">
        <v>209</v>
      </c>
      <c r="E62" s="103" t="s">
        <v>190</v>
      </c>
      <c r="F62" s="93">
        <v>44893</v>
      </c>
      <c r="G62" s="113">
        <v>1</v>
      </c>
      <c r="H62" s="94">
        <v>0</v>
      </c>
      <c r="I62" s="95">
        <v>400</v>
      </c>
      <c r="J62" s="96"/>
      <c r="K62" s="146" t="s">
        <v>175</v>
      </c>
      <c r="L62" s="158">
        <v>44893</v>
      </c>
      <c r="M62" s="165">
        <v>2</v>
      </c>
      <c r="N62" s="159">
        <v>0</v>
      </c>
      <c r="O62" s="160"/>
      <c r="P62" s="169"/>
      <c r="Q62" s="21"/>
      <c r="R62" s="56"/>
      <c r="S62" s="58"/>
      <c r="T62" s="58"/>
      <c r="U62" s="58"/>
      <c r="V62" s="64"/>
      <c r="W62" s="60"/>
      <c r="X62" s="60"/>
      <c r="Y62" s="60"/>
      <c r="Z62" s="60"/>
      <c r="AA62" s="60"/>
      <c r="AB62" s="60"/>
      <c r="AC62" s="60"/>
      <c r="AD62" s="60"/>
      <c r="AE62" s="60"/>
      <c r="AF62" s="60"/>
      <c r="AG62" s="62"/>
      <c r="AH62" s="62"/>
      <c r="AI62" s="60"/>
      <c r="AJ62" s="60"/>
      <c r="AK62" s="60"/>
      <c r="AL62" s="56"/>
      <c r="AM62" s="58"/>
      <c r="AN62" s="58"/>
      <c r="AO62" s="58"/>
      <c r="AP62" s="62"/>
      <c r="AQ62" s="62"/>
      <c r="AR62" s="62"/>
      <c r="AS62" s="62"/>
      <c r="AT62" s="62"/>
      <c r="AU62" s="62"/>
      <c r="AV62" s="60"/>
      <c r="AW62" s="60"/>
      <c r="AX62" s="60"/>
      <c r="AY62" s="60"/>
      <c r="AZ62" s="60"/>
      <c r="BA62" s="60"/>
      <c r="BB62" s="60"/>
      <c r="BC62" s="60"/>
      <c r="BD62" s="60"/>
      <c r="BE62" s="60"/>
      <c r="BF62" s="56"/>
      <c r="BG62" s="58"/>
      <c r="BH62" s="58"/>
      <c r="BI62" s="58"/>
      <c r="BJ62" s="62"/>
      <c r="BK62" s="60"/>
      <c r="BL62" s="60"/>
      <c r="BM62" s="60"/>
      <c r="BN62" s="60"/>
      <c r="BO62" s="60"/>
      <c r="BP62" s="60"/>
      <c r="BQ62" s="60"/>
      <c r="BR62" s="60"/>
      <c r="BS62" s="60"/>
      <c r="BT62" s="60"/>
      <c r="BU62" s="60"/>
      <c r="BV62" s="60"/>
      <c r="BW62" s="60"/>
      <c r="BX62" s="60"/>
      <c r="BY62" s="60"/>
      <c r="BZ62" s="56"/>
      <c r="CA62" s="58"/>
      <c r="CB62" s="58"/>
      <c r="CC62" s="64"/>
      <c r="CD62" s="64"/>
      <c r="CE62" s="60"/>
      <c r="CF62" s="60"/>
      <c r="CG62" s="60"/>
      <c r="CH62" s="60"/>
      <c r="CI62" s="60"/>
      <c r="CJ62" s="60"/>
      <c r="CK62" s="60"/>
      <c r="CL62" s="60"/>
      <c r="CM62" s="60"/>
      <c r="CN62" s="60"/>
      <c r="CO62" s="60"/>
      <c r="CP62" s="60"/>
      <c r="CQ62" s="60"/>
      <c r="CR62" s="60"/>
      <c r="CS62" s="60"/>
      <c r="CT62" s="56"/>
      <c r="CU62" s="64"/>
      <c r="CV62" s="64"/>
      <c r="CW62" s="64"/>
      <c r="CX62" s="64"/>
      <c r="CY62" s="60"/>
      <c r="CZ62" s="60"/>
      <c r="DA62" s="60"/>
      <c r="DB62" s="60"/>
      <c r="DC62" s="60"/>
      <c r="DD62" s="60"/>
      <c r="DE62" s="60"/>
      <c r="DF62" s="60"/>
      <c r="DG62" s="60"/>
      <c r="DH62" s="60"/>
      <c r="DI62" s="60"/>
      <c r="DJ62" s="60"/>
      <c r="DK62" s="60"/>
      <c r="DL62" s="60"/>
      <c r="DM62" s="60"/>
      <c r="DN62" s="56"/>
      <c r="DO62" s="58"/>
      <c r="DP62" s="58"/>
      <c r="DQ62" s="64"/>
      <c r="DR62" s="60"/>
      <c r="DS62" s="60"/>
      <c r="DT62" s="60"/>
      <c r="DU62" s="60"/>
      <c r="DV62" s="60"/>
      <c r="DW62" s="60"/>
      <c r="DX62" s="60"/>
      <c r="DY62" s="60"/>
      <c r="DZ62" s="60"/>
      <c r="EA62" s="60"/>
      <c r="EB62" s="60"/>
      <c r="EC62" s="62"/>
      <c r="ED62" s="62"/>
      <c r="EE62" s="60"/>
      <c r="EF62" s="60"/>
      <c r="EG62" s="60"/>
      <c r="EH62" s="56"/>
      <c r="EI62" s="58"/>
      <c r="EJ62" s="58"/>
      <c r="EK62" s="64"/>
      <c r="EL62" s="60"/>
      <c r="EM62" s="60"/>
      <c r="EN62" s="60"/>
      <c r="EO62" s="60"/>
      <c r="EP62" s="60"/>
      <c r="EQ62" s="60"/>
      <c r="ER62" s="60"/>
      <c r="ES62" s="60"/>
      <c r="ET62" s="60"/>
      <c r="EU62" s="60"/>
      <c r="EV62" s="60"/>
      <c r="EW62" s="60"/>
      <c r="EX62" s="60"/>
      <c r="EY62" s="60"/>
      <c r="EZ62" s="60"/>
      <c r="FA62" s="60"/>
      <c r="FB62" s="56"/>
      <c r="FC62" s="64"/>
      <c r="FD62" s="64"/>
      <c r="FE62" s="64"/>
      <c r="FF62" s="60"/>
      <c r="FG62" s="60"/>
      <c r="FH62" s="60"/>
      <c r="FI62" s="60"/>
      <c r="FJ62" s="60"/>
      <c r="FK62" s="60"/>
      <c r="FL62" s="60"/>
      <c r="FM62" s="60"/>
      <c r="FN62" s="60"/>
      <c r="FO62" s="60"/>
      <c r="FP62" s="60"/>
      <c r="FQ62" s="60"/>
      <c r="FR62" s="60"/>
      <c r="FS62" s="60"/>
      <c r="FT62" s="60"/>
      <c r="FU62" s="60"/>
      <c r="FV62" s="56"/>
      <c r="FW62" s="64"/>
      <c r="FX62" s="64"/>
      <c r="FY62" s="64"/>
      <c r="FZ62" s="60"/>
      <c r="GA62" s="60"/>
      <c r="GB62" s="60"/>
      <c r="GC62" s="60"/>
      <c r="GD62" s="60"/>
      <c r="GE62" s="60"/>
      <c r="GF62" s="60"/>
      <c r="GG62" s="60"/>
      <c r="GH62" s="60"/>
      <c r="GI62" s="60"/>
      <c r="GJ62" s="60"/>
      <c r="GK62" s="60"/>
      <c r="GL62" s="60"/>
      <c r="GM62" s="60"/>
      <c r="GN62" s="60"/>
      <c r="GO62" s="60"/>
      <c r="GP62" s="56"/>
      <c r="GQ62" s="64"/>
      <c r="GR62" s="64"/>
      <c r="GS62" s="64"/>
      <c r="GT62" s="60"/>
      <c r="GU62" s="60"/>
      <c r="GV62" s="60"/>
      <c r="GW62" s="60"/>
      <c r="GX62" s="60"/>
      <c r="GY62" s="60"/>
      <c r="GZ62" s="62"/>
      <c r="HA62" s="62"/>
      <c r="HB62" s="62"/>
      <c r="HC62" s="62"/>
      <c r="HD62" s="62"/>
      <c r="HE62" s="62"/>
      <c r="HF62" s="62"/>
      <c r="HG62" s="62"/>
      <c r="HH62" s="62"/>
      <c r="HI62" s="62"/>
      <c r="HJ62" s="56"/>
      <c r="HK62" s="58"/>
      <c r="HL62" s="58"/>
      <c r="HM62" s="58"/>
      <c r="HN62" s="62"/>
      <c r="HO62" s="62"/>
      <c r="HP62" s="62"/>
      <c r="HQ62" s="62"/>
      <c r="HR62" s="62"/>
      <c r="HS62" s="62"/>
      <c r="HT62" s="62"/>
      <c r="HU62" s="62"/>
      <c r="HV62" s="62"/>
      <c r="HW62" s="62"/>
      <c r="HX62" s="62"/>
      <c r="HY62" s="62"/>
      <c r="HZ62" s="62"/>
      <c r="IA62" s="62"/>
      <c r="IB62" s="62"/>
      <c r="IC62" s="62"/>
      <c r="ID62" s="4"/>
      <c r="IF62" s="23"/>
      <c r="IG62" s="28"/>
      <c r="IH62" s="28" t="s">
        <v>97</v>
      </c>
      <c r="II62" s="29">
        <f t="shared" si="17"/>
        <v>6</v>
      </c>
      <c r="IJ62" s="29" t="str">
        <f t="shared" si="18"/>
        <v>Color6</v>
      </c>
      <c r="IK62" s="8">
        <f t="shared" si="19"/>
        <v>400</v>
      </c>
      <c r="IL62" s="23"/>
    </row>
    <row r="63" spans="1:246" ht="14.25" thickBot="1" x14ac:dyDescent="0.2">
      <c r="A63" s="223"/>
      <c r="B63" s="6" t="s">
        <v>22</v>
      </c>
      <c r="C63" s="7" t="str">
        <f t="shared" si="5"/>
        <v/>
      </c>
      <c r="D63" s="91"/>
      <c r="E63" s="103"/>
      <c r="F63" s="97"/>
      <c r="G63" s="117"/>
      <c r="H63" s="98"/>
      <c r="I63" s="95"/>
      <c r="J63" s="96"/>
      <c r="K63" s="147" t="s">
        <v>105</v>
      </c>
      <c r="L63" s="158"/>
      <c r="M63" s="165"/>
      <c r="N63" s="159"/>
      <c r="O63" s="160"/>
      <c r="P63" s="169"/>
      <c r="Q63" s="21"/>
      <c r="R63" s="56"/>
      <c r="S63" s="58"/>
      <c r="T63" s="58"/>
      <c r="U63" s="58"/>
      <c r="V63" s="64"/>
      <c r="W63" s="60"/>
      <c r="X63" s="60"/>
      <c r="Y63" s="60"/>
      <c r="Z63" s="60"/>
      <c r="AA63" s="60"/>
      <c r="AB63" s="60"/>
      <c r="AC63" s="60"/>
      <c r="AD63" s="60"/>
      <c r="AE63" s="60"/>
      <c r="AF63" s="60"/>
      <c r="AG63" s="62"/>
      <c r="AH63" s="62"/>
      <c r="AI63" s="60"/>
      <c r="AJ63" s="60"/>
      <c r="AK63" s="60"/>
      <c r="AL63" s="56"/>
      <c r="AM63" s="58"/>
      <c r="AN63" s="58"/>
      <c r="AO63" s="58"/>
      <c r="AP63" s="62"/>
      <c r="AQ63" s="62"/>
      <c r="AR63" s="62"/>
      <c r="AS63" s="62"/>
      <c r="AT63" s="62"/>
      <c r="AU63" s="62"/>
      <c r="AV63" s="60"/>
      <c r="AW63" s="60"/>
      <c r="AX63" s="60"/>
      <c r="AY63" s="60"/>
      <c r="AZ63" s="60"/>
      <c r="BA63" s="60"/>
      <c r="BB63" s="60"/>
      <c r="BC63" s="60"/>
      <c r="BD63" s="60"/>
      <c r="BE63" s="60"/>
      <c r="BF63" s="56"/>
      <c r="BG63" s="58"/>
      <c r="BH63" s="58"/>
      <c r="BI63" s="58"/>
      <c r="BJ63" s="62"/>
      <c r="BK63" s="60"/>
      <c r="BL63" s="60"/>
      <c r="BM63" s="60"/>
      <c r="BN63" s="60"/>
      <c r="BO63" s="60"/>
      <c r="BP63" s="60"/>
      <c r="BQ63" s="60"/>
      <c r="BR63" s="60"/>
      <c r="BS63" s="60"/>
      <c r="BT63" s="60"/>
      <c r="BU63" s="60"/>
      <c r="BV63" s="60"/>
      <c r="BW63" s="60"/>
      <c r="BX63" s="60"/>
      <c r="BY63" s="60"/>
      <c r="BZ63" s="56"/>
      <c r="CA63" s="58"/>
      <c r="CB63" s="58"/>
      <c r="CC63" s="64"/>
      <c r="CD63" s="64"/>
      <c r="CE63" s="60"/>
      <c r="CF63" s="60"/>
      <c r="CG63" s="60"/>
      <c r="CH63" s="60"/>
      <c r="CI63" s="60"/>
      <c r="CJ63" s="60"/>
      <c r="CK63" s="60"/>
      <c r="CL63" s="60"/>
      <c r="CM63" s="60"/>
      <c r="CN63" s="60"/>
      <c r="CO63" s="60"/>
      <c r="CP63" s="60"/>
      <c r="CQ63" s="60"/>
      <c r="CR63" s="60"/>
      <c r="CS63" s="60"/>
      <c r="CT63" s="56"/>
      <c r="CU63" s="64"/>
      <c r="CV63" s="64"/>
      <c r="CW63" s="64"/>
      <c r="CX63" s="64"/>
      <c r="CY63" s="60"/>
      <c r="CZ63" s="60"/>
      <c r="DA63" s="60"/>
      <c r="DB63" s="60"/>
      <c r="DC63" s="60"/>
      <c r="DD63" s="60"/>
      <c r="DE63" s="60"/>
      <c r="DF63" s="60"/>
      <c r="DG63" s="60"/>
      <c r="DH63" s="60"/>
      <c r="DI63" s="60"/>
      <c r="DJ63" s="60"/>
      <c r="DK63" s="60"/>
      <c r="DL63" s="60"/>
      <c r="DM63" s="60"/>
      <c r="DN63" s="56"/>
      <c r="DO63" s="58"/>
      <c r="DP63" s="58"/>
      <c r="DQ63" s="64"/>
      <c r="DR63" s="60"/>
      <c r="DS63" s="60"/>
      <c r="DT63" s="60"/>
      <c r="DU63" s="60"/>
      <c r="DV63" s="60"/>
      <c r="DW63" s="60"/>
      <c r="DX63" s="60"/>
      <c r="DY63" s="60"/>
      <c r="DZ63" s="60"/>
      <c r="EA63" s="60"/>
      <c r="EB63" s="60"/>
      <c r="EC63" s="62"/>
      <c r="ED63" s="62"/>
      <c r="EE63" s="60"/>
      <c r="EF63" s="60"/>
      <c r="EG63" s="60"/>
      <c r="EH63" s="56"/>
      <c r="EI63" s="58"/>
      <c r="EJ63" s="58"/>
      <c r="EK63" s="64"/>
      <c r="EL63" s="60"/>
      <c r="EM63" s="60"/>
      <c r="EN63" s="60"/>
      <c r="EO63" s="60"/>
      <c r="EP63" s="60"/>
      <c r="EQ63" s="60"/>
      <c r="ER63" s="60"/>
      <c r="ES63" s="60"/>
      <c r="ET63" s="60"/>
      <c r="EU63" s="60"/>
      <c r="EV63" s="60"/>
      <c r="EW63" s="60"/>
      <c r="EX63" s="60"/>
      <c r="EY63" s="60"/>
      <c r="EZ63" s="60"/>
      <c r="FA63" s="60"/>
      <c r="FB63" s="56"/>
      <c r="FC63" s="64"/>
      <c r="FD63" s="64"/>
      <c r="FE63" s="64"/>
      <c r="FF63" s="60"/>
      <c r="FG63" s="60"/>
      <c r="FH63" s="60"/>
      <c r="FI63" s="60"/>
      <c r="FJ63" s="60"/>
      <c r="FK63" s="60"/>
      <c r="FL63" s="60"/>
      <c r="FM63" s="60"/>
      <c r="FN63" s="60"/>
      <c r="FO63" s="60"/>
      <c r="FP63" s="60"/>
      <c r="FQ63" s="60"/>
      <c r="FR63" s="60"/>
      <c r="FS63" s="60"/>
      <c r="FT63" s="60"/>
      <c r="FU63" s="60"/>
      <c r="FV63" s="56"/>
      <c r="FW63" s="64"/>
      <c r="FX63" s="64"/>
      <c r="FY63" s="64"/>
      <c r="FZ63" s="60"/>
      <c r="GA63" s="60"/>
      <c r="GB63" s="60"/>
      <c r="GC63" s="60"/>
      <c r="GD63" s="60"/>
      <c r="GE63" s="60"/>
      <c r="GF63" s="60"/>
      <c r="GG63" s="60"/>
      <c r="GH63" s="60"/>
      <c r="GI63" s="60"/>
      <c r="GJ63" s="60"/>
      <c r="GK63" s="60"/>
      <c r="GL63" s="60"/>
      <c r="GM63" s="60"/>
      <c r="GN63" s="60"/>
      <c r="GO63" s="60"/>
      <c r="GP63" s="56"/>
      <c r="GQ63" s="64"/>
      <c r="GR63" s="64"/>
      <c r="GS63" s="64"/>
      <c r="GT63" s="60"/>
      <c r="GU63" s="60"/>
      <c r="GV63" s="60"/>
      <c r="GW63" s="60"/>
      <c r="GX63" s="60"/>
      <c r="GY63" s="60"/>
      <c r="GZ63" s="62"/>
      <c r="HA63" s="62"/>
      <c r="HB63" s="62"/>
      <c r="HC63" s="62"/>
      <c r="HD63" s="62"/>
      <c r="HE63" s="62"/>
      <c r="HF63" s="62"/>
      <c r="HG63" s="62"/>
      <c r="HH63" s="62"/>
      <c r="HI63" s="62"/>
      <c r="HJ63" s="56"/>
      <c r="HK63" s="58"/>
      <c r="HL63" s="58"/>
      <c r="HM63" s="58"/>
      <c r="HN63" s="62"/>
      <c r="HO63" s="62"/>
      <c r="HP63" s="62"/>
      <c r="HQ63" s="62"/>
      <c r="HR63" s="62"/>
      <c r="HS63" s="62"/>
      <c r="HT63" s="62"/>
      <c r="HU63" s="62"/>
      <c r="HV63" s="62"/>
      <c r="HW63" s="62"/>
      <c r="HX63" s="62"/>
      <c r="HY63" s="62"/>
      <c r="HZ63" s="62"/>
      <c r="IA63" s="62"/>
      <c r="IB63" s="62"/>
      <c r="IC63" s="62"/>
      <c r="ID63" s="4"/>
      <c r="IF63" s="23"/>
      <c r="IG63" s="28"/>
      <c r="IH63" s="28" t="s">
        <v>97</v>
      </c>
      <c r="II63" s="29" t="str">
        <f t="shared" si="17"/>
        <v/>
      </c>
      <c r="IJ63" s="29" t="str">
        <f t="shared" si="18"/>
        <v>ColorNone</v>
      </c>
      <c r="IK63" s="8">
        <f t="shared" si="19"/>
        <v>0</v>
      </c>
      <c r="IL63" s="23"/>
    </row>
    <row r="64" spans="1:246" ht="14.25" thickBot="1" x14ac:dyDescent="0.2">
      <c r="A64" s="223"/>
      <c r="B64" s="6" t="s">
        <v>23</v>
      </c>
      <c r="C64" s="7" t="str">
        <f t="shared" si="5"/>
        <v/>
      </c>
      <c r="D64" s="91"/>
      <c r="E64" s="103"/>
      <c r="F64" s="97"/>
      <c r="G64" s="117"/>
      <c r="H64" s="98"/>
      <c r="I64" s="95"/>
      <c r="J64" s="96"/>
      <c r="K64" s="147" t="s">
        <v>105</v>
      </c>
      <c r="L64" s="158"/>
      <c r="M64" s="165"/>
      <c r="N64" s="159"/>
      <c r="O64" s="160"/>
      <c r="P64" s="169"/>
      <c r="Q64" s="21"/>
      <c r="R64" s="56"/>
      <c r="S64" s="58"/>
      <c r="T64" s="58"/>
      <c r="U64" s="58"/>
      <c r="V64" s="64"/>
      <c r="W64" s="60"/>
      <c r="X64" s="60"/>
      <c r="Y64" s="60"/>
      <c r="Z64" s="60"/>
      <c r="AA64" s="60"/>
      <c r="AB64" s="60"/>
      <c r="AC64" s="60"/>
      <c r="AD64" s="60"/>
      <c r="AE64" s="60"/>
      <c r="AF64" s="60"/>
      <c r="AG64" s="62"/>
      <c r="AH64" s="62"/>
      <c r="AI64" s="60"/>
      <c r="AJ64" s="60"/>
      <c r="AK64" s="60"/>
      <c r="AL64" s="56"/>
      <c r="AM64" s="58"/>
      <c r="AN64" s="58"/>
      <c r="AO64" s="58"/>
      <c r="AP64" s="62"/>
      <c r="AQ64" s="62"/>
      <c r="AR64" s="62"/>
      <c r="AS64" s="62"/>
      <c r="AT64" s="62"/>
      <c r="AU64" s="62"/>
      <c r="AV64" s="60"/>
      <c r="AW64" s="60"/>
      <c r="AX64" s="60"/>
      <c r="AY64" s="60"/>
      <c r="AZ64" s="60"/>
      <c r="BA64" s="60"/>
      <c r="BB64" s="60"/>
      <c r="BC64" s="60"/>
      <c r="BD64" s="60"/>
      <c r="BE64" s="60"/>
      <c r="BF64" s="56"/>
      <c r="BG64" s="58"/>
      <c r="BH64" s="58"/>
      <c r="BI64" s="58"/>
      <c r="BJ64" s="62"/>
      <c r="BK64" s="60"/>
      <c r="BL64" s="60"/>
      <c r="BM64" s="60"/>
      <c r="BN64" s="60"/>
      <c r="BO64" s="60"/>
      <c r="BP64" s="60"/>
      <c r="BQ64" s="60"/>
      <c r="BR64" s="60"/>
      <c r="BS64" s="60"/>
      <c r="BT64" s="60"/>
      <c r="BU64" s="60"/>
      <c r="BV64" s="60"/>
      <c r="BW64" s="60"/>
      <c r="BX64" s="60"/>
      <c r="BY64" s="60"/>
      <c r="BZ64" s="56"/>
      <c r="CA64" s="58"/>
      <c r="CB64" s="58"/>
      <c r="CC64" s="64"/>
      <c r="CD64" s="64"/>
      <c r="CE64" s="60"/>
      <c r="CF64" s="60"/>
      <c r="CG64" s="60"/>
      <c r="CH64" s="60"/>
      <c r="CI64" s="60"/>
      <c r="CJ64" s="60"/>
      <c r="CK64" s="60"/>
      <c r="CL64" s="60"/>
      <c r="CM64" s="60"/>
      <c r="CN64" s="60"/>
      <c r="CO64" s="60"/>
      <c r="CP64" s="60"/>
      <c r="CQ64" s="60"/>
      <c r="CR64" s="60"/>
      <c r="CS64" s="60"/>
      <c r="CT64" s="56"/>
      <c r="CU64" s="64"/>
      <c r="CV64" s="64"/>
      <c r="CW64" s="64"/>
      <c r="CX64" s="64"/>
      <c r="CY64" s="60"/>
      <c r="CZ64" s="60"/>
      <c r="DA64" s="60"/>
      <c r="DB64" s="60"/>
      <c r="DC64" s="60"/>
      <c r="DD64" s="60"/>
      <c r="DE64" s="60"/>
      <c r="DF64" s="60"/>
      <c r="DG64" s="60"/>
      <c r="DH64" s="60"/>
      <c r="DI64" s="60"/>
      <c r="DJ64" s="60"/>
      <c r="DK64" s="60"/>
      <c r="DL64" s="60"/>
      <c r="DM64" s="60"/>
      <c r="DN64" s="56"/>
      <c r="DO64" s="58"/>
      <c r="DP64" s="58"/>
      <c r="DQ64" s="64"/>
      <c r="DR64" s="60"/>
      <c r="DS64" s="60"/>
      <c r="DT64" s="60"/>
      <c r="DU64" s="60"/>
      <c r="DV64" s="60"/>
      <c r="DW64" s="60"/>
      <c r="DX64" s="60"/>
      <c r="DY64" s="60"/>
      <c r="DZ64" s="60"/>
      <c r="EA64" s="60"/>
      <c r="EB64" s="60"/>
      <c r="EC64" s="62"/>
      <c r="ED64" s="62"/>
      <c r="EE64" s="60"/>
      <c r="EF64" s="60"/>
      <c r="EG64" s="60"/>
      <c r="EH64" s="56"/>
      <c r="EI64" s="58"/>
      <c r="EJ64" s="58"/>
      <c r="EK64" s="64"/>
      <c r="EL64" s="60"/>
      <c r="EM64" s="60"/>
      <c r="EN64" s="60"/>
      <c r="EO64" s="60"/>
      <c r="EP64" s="60"/>
      <c r="EQ64" s="60"/>
      <c r="ER64" s="60"/>
      <c r="ES64" s="60"/>
      <c r="ET64" s="60"/>
      <c r="EU64" s="60"/>
      <c r="EV64" s="60"/>
      <c r="EW64" s="60"/>
      <c r="EX64" s="60"/>
      <c r="EY64" s="60"/>
      <c r="EZ64" s="60"/>
      <c r="FA64" s="60"/>
      <c r="FB64" s="56"/>
      <c r="FC64" s="64"/>
      <c r="FD64" s="64"/>
      <c r="FE64" s="64"/>
      <c r="FF64" s="60"/>
      <c r="FG64" s="60"/>
      <c r="FH64" s="60"/>
      <c r="FI64" s="60"/>
      <c r="FJ64" s="60"/>
      <c r="FK64" s="60"/>
      <c r="FL64" s="60"/>
      <c r="FM64" s="60"/>
      <c r="FN64" s="60"/>
      <c r="FO64" s="60"/>
      <c r="FP64" s="60"/>
      <c r="FQ64" s="60"/>
      <c r="FR64" s="60"/>
      <c r="FS64" s="60"/>
      <c r="FT64" s="60"/>
      <c r="FU64" s="60"/>
      <c r="FV64" s="56"/>
      <c r="FW64" s="64"/>
      <c r="FX64" s="64"/>
      <c r="FY64" s="64"/>
      <c r="FZ64" s="60"/>
      <c r="GA64" s="60"/>
      <c r="GB64" s="60"/>
      <c r="GC64" s="60"/>
      <c r="GD64" s="60"/>
      <c r="GE64" s="60"/>
      <c r="GF64" s="60"/>
      <c r="GG64" s="60"/>
      <c r="GH64" s="60"/>
      <c r="GI64" s="60"/>
      <c r="GJ64" s="60"/>
      <c r="GK64" s="60"/>
      <c r="GL64" s="60"/>
      <c r="GM64" s="60"/>
      <c r="GN64" s="60"/>
      <c r="GO64" s="60"/>
      <c r="GP64" s="56"/>
      <c r="GQ64" s="64"/>
      <c r="GR64" s="64"/>
      <c r="GS64" s="64"/>
      <c r="GT64" s="60"/>
      <c r="GU64" s="60"/>
      <c r="GV64" s="60"/>
      <c r="GW64" s="60"/>
      <c r="GX64" s="60"/>
      <c r="GY64" s="60"/>
      <c r="GZ64" s="62"/>
      <c r="HA64" s="62"/>
      <c r="HB64" s="62"/>
      <c r="HC64" s="62"/>
      <c r="HD64" s="62"/>
      <c r="HE64" s="62"/>
      <c r="HF64" s="62"/>
      <c r="HG64" s="62"/>
      <c r="HH64" s="62"/>
      <c r="HI64" s="62"/>
      <c r="HJ64" s="56"/>
      <c r="HK64" s="58"/>
      <c r="HL64" s="58"/>
      <c r="HM64" s="58"/>
      <c r="HN64" s="62"/>
      <c r="HO64" s="62"/>
      <c r="HP64" s="62"/>
      <c r="HQ64" s="62"/>
      <c r="HR64" s="62"/>
      <c r="HS64" s="62"/>
      <c r="HT64" s="62"/>
      <c r="HU64" s="62"/>
      <c r="HV64" s="62"/>
      <c r="HW64" s="62"/>
      <c r="HX64" s="62"/>
      <c r="HY64" s="62"/>
      <c r="HZ64" s="62"/>
      <c r="IA64" s="62"/>
      <c r="IB64" s="62"/>
      <c r="IC64" s="62"/>
      <c r="ID64" s="4"/>
      <c r="IF64" s="23"/>
      <c r="IG64" s="28"/>
      <c r="IH64" s="28" t="s">
        <v>97</v>
      </c>
      <c r="II64" s="29" t="str">
        <f t="shared" si="17"/>
        <v/>
      </c>
      <c r="IJ64" s="29" t="str">
        <f t="shared" si="18"/>
        <v>ColorNone</v>
      </c>
      <c r="IK64" s="8">
        <f t="shared" si="19"/>
        <v>0</v>
      </c>
      <c r="IL64" s="23"/>
    </row>
    <row r="65" spans="1:246" ht="14.25" thickBot="1" x14ac:dyDescent="0.2">
      <c r="A65" s="223"/>
      <c r="B65" s="6" t="s">
        <v>24</v>
      </c>
      <c r="C65" s="7" t="str">
        <f t="shared" si="5"/>
        <v/>
      </c>
      <c r="D65" s="91"/>
      <c r="E65" s="103"/>
      <c r="F65" s="97"/>
      <c r="G65" s="117"/>
      <c r="H65" s="98"/>
      <c r="I65" s="95"/>
      <c r="J65" s="96"/>
      <c r="K65" s="147" t="s">
        <v>105</v>
      </c>
      <c r="L65" s="158"/>
      <c r="M65" s="165"/>
      <c r="N65" s="159"/>
      <c r="O65" s="160"/>
      <c r="P65" s="169"/>
      <c r="Q65" s="21"/>
      <c r="R65" s="56"/>
      <c r="S65" s="58"/>
      <c r="T65" s="58"/>
      <c r="U65" s="58"/>
      <c r="V65" s="64"/>
      <c r="W65" s="60"/>
      <c r="X65" s="60"/>
      <c r="Y65" s="60"/>
      <c r="Z65" s="60"/>
      <c r="AA65" s="60"/>
      <c r="AB65" s="60"/>
      <c r="AC65" s="60"/>
      <c r="AD65" s="60"/>
      <c r="AE65" s="60"/>
      <c r="AF65" s="60"/>
      <c r="AG65" s="62"/>
      <c r="AH65" s="62"/>
      <c r="AI65" s="60"/>
      <c r="AJ65" s="60"/>
      <c r="AK65" s="60"/>
      <c r="AL65" s="56"/>
      <c r="AM65" s="58"/>
      <c r="AN65" s="58"/>
      <c r="AO65" s="58"/>
      <c r="AP65" s="62"/>
      <c r="AQ65" s="62"/>
      <c r="AR65" s="62"/>
      <c r="AS65" s="62"/>
      <c r="AT65" s="62"/>
      <c r="AU65" s="62"/>
      <c r="AV65" s="60"/>
      <c r="AW65" s="60"/>
      <c r="AX65" s="60"/>
      <c r="AY65" s="60"/>
      <c r="AZ65" s="60"/>
      <c r="BA65" s="60"/>
      <c r="BB65" s="60"/>
      <c r="BC65" s="60"/>
      <c r="BD65" s="60"/>
      <c r="BE65" s="60"/>
      <c r="BF65" s="56"/>
      <c r="BG65" s="58"/>
      <c r="BH65" s="58"/>
      <c r="BI65" s="58"/>
      <c r="BJ65" s="62"/>
      <c r="BK65" s="60"/>
      <c r="BL65" s="60"/>
      <c r="BM65" s="60"/>
      <c r="BN65" s="60"/>
      <c r="BO65" s="60"/>
      <c r="BP65" s="60"/>
      <c r="BQ65" s="60"/>
      <c r="BR65" s="60"/>
      <c r="BS65" s="60"/>
      <c r="BT65" s="60"/>
      <c r="BU65" s="60"/>
      <c r="BV65" s="60"/>
      <c r="BW65" s="60"/>
      <c r="BX65" s="60"/>
      <c r="BY65" s="60"/>
      <c r="BZ65" s="56"/>
      <c r="CA65" s="58"/>
      <c r="CB65" s="58"/>
      <c r="CC65" s="64"/>
      <c r="CD65" s="64"/>
      <c r="CE65" s="60"/>
      <c r="CF65" s="60"/>
      <c r="CG65" s="60"/>
      <c r="CH65" s="60"/>
      <c r="CI65" s="60"/>
      <c r="CJ65" s="60"/>
      <c r="CK65" s="60"/>
      <c r="CL65" s="60"/>
      <c r="CM65" s="60"/>
      <c r="CN65" s="60"/>
      <c r="CO65" s="60"/>
      <c r="CP65" s="60"/>
      <c r="CQ65" s="60"/>
      <c r="CR65" s="60"/>
      <c r="CS65" s="60"/>
      <c r="CT65" s="56"/>
      <c r="CU65" s="64"/>
      <c r="CV65" s="64"/>
      <c r="CW65" s="64"/>
      <c r="CX65" s="64"/>
      <c r="CY65" s="60"/>
      <c r="CZ65" s="60"/>
      <c r="DA65" s="60"/>
      <c r="DB65" s="60"/>
      <c r="DC65" s="60"/>
      <c r="DD65" s="60"/>
      <c r="DE65" s="60"/>
      <c r="DF65" s="60"/>
      <c r="DG65" s="60"/>
      <c r="DH65" s="60"/>
      <c r="DI65" s="60"/>
      <c r="DJ65" s="60"/>
      <c r="DK65" s="60"/>
      <c r="DL65" s="60"/>
      <c r="DM65" s="60"/>
      <c r="DN65" s="56"/>
      <c r="DO65" s="58"/>
      <c r="DP65" s="58"/>
      <c r="DQ65" s="64"/>
      <c r="DR65" s="60"/>
      <c r="DS65" s="60"/>
      <c r="DT65" s="60"/>
      <c r="DU65" s="60"/>
      <c r="DV65" s="60"/>
      <c r="DW65" s="60"/>
      <c r="DX65" s="60"/>
      <c r="DY65" s="60"/>
      <c r="DZ65" s="60"/>
      <c r="EA65" s="60"/>
      <c r="EB65" s="60"/>
      <c r="EC65" s="62"/>
      <c r="ED65" s="62"/>
      <c r="EE65" s="60"/>
      <c r="EF65" s="60"/>
      <c r="EG65" s="60"/>
      <c r="EH65" s="56"/>
      <c r="EI65" s="58"/>
      <c r="EJ65" s="58"/>
      <c r="EK65" s="64"/>
      <c r="EL65" s="60"/>
      <c r="EM65" s="60"/>
      <c r="EN65" s="60"/>
      <c r="EO65" s="60"/>
      <c r="EP65" s="60"/>
      <c r="EQ65" s="60"/>
      <c r="ER65" s="60"/>
      <c r="ES65" s="60"/>
      <c r="ET65" s="60"/>
      <c r="EU65" s="60"/>
      <c r="EV65" s="60"/>
      <c r="EW65" s="60"/>
      <c r="EX65" s="60"/>
      <c r="EY65" s="60"/>
      <c r="EZ65" s="60"/>
      <c r="FA65" s="60"/>
      <c r="FB65" s="56"/>
      <c r="FC65" s="64"/>
      <c r="FD65" s="64"/>
      <c r="FE65" s="64"/>
      <c r="FF65" s="60"/>
      <c r="FG65" s="60"/>
      <c r="FH65" s="60"/>
      <c r="FI65" s="60"/>
      <c r="FJ65" s="60"/>
      <c r="FK65" s="60"/>
      <c r="FL65" s="60"/>
      <c r="FM65" s="60"/>
      <c r="FN65" s="60"/>
      <c r="FO65" s="60"/>
      <c r="FP65" s="60"/>
      <c r="FQ65" s="60"/>
      <c r="FR65" s="60"/>
      <c r="FS65" s="60"/>
      <c r="FT65" s="60"/>
      <c r="FU65" s="60"/>
      <c r="FV65" s="56"/>
      <c r="FW65" s="64"/>
      <c r="FX65" s="64"/>
      <c r="FY65" s="64"/>
      <c r="FZ65" s="60"/>
      <c r="GA65" s="60"/>
      <c r="GB65" s="60"/>
      <c r="GC65" s="60"/>
      <c r="GD65" s="60"/>
      <c r="GE65" s="60"/>
      <c r="GF65" s="60"/>
      <c r="GG65" s="60"/>
      <c r="GH65" s="60"/>
      <c r="GI65" s="60"/>
      <c r="GJ65" s="60"/>
      <c r="GK65" s="60"/>
      <c r="GL65" s="60"/>
      <c r="GM65" s="60"/>
      <c r="GN65" s="60"/>
      <c r="GO65" s="60"/>
      <c r="GP65" s="56"/>
      <c r="GQ65" s="64"/>
      <c r="GR65" s="64"/>
      <c r="GS65" s="64"/>
      <c r="GT65" s="60"/>
      <c r="GU65" s="60"/>
      <c r="GV65" s="60"/>
      <c r="GW65" s="60"/>
      <c r="GX65" s="60"/>
      <c r="GY65" s="60"/>
      <c r="GZ65" s="62"/>
      <c r="HA65" s="62"/>
      <c r="HB65" s="62"/>
      <c r="HC65" s="62"/>
      <c r="HD65" s="62"/>
      <c r="HE65" s="62"/>
      <c r="HF65" s="62"/>
      <c r="HG65" s="62"/>
      <c r="HH65" s="62"/>
      <c r="HI65" s="62"/>
      <c r="HJ65" s="56"/>
      <c r="HK65" s="58"/>
      <c r="HL65" s="58"/>
      <c r="HM65" s="58"/>
      <c r="HN65" s="62"/>
      <c r="HO65" s="62"/>
      <c r="HP65" s="62"/>
      <c r="HQ65" s="62"/>
      <c r="HR65" s="62"/>
      <c r="HS65" s="62"/>
      <c r="HT65" s="62"/>
      <c r="HU65" s="62"/>
      <c r="HV65" s="62"/>
      <c r="HW65" s="62"/>
      <c r="HX65" s="62"/>
      <c r="HY65" s="62"/>
      <c r="HZ65" s="62"/>
      <c r="IA65" s="62"/>
      <c r="IB65" s="62"/>
      <c r="IC65" s="62"/>
      <c r="ID65" s="4"/>
      <c r="IF65" s="23"/>
      <c r="IG65" s="28"/>
      <c r="IH65" s="28" t="s">
        <v>97</v>
      </c>
      <c r="II65" s="29" t="str">
        <f t="shared" si="17"/>
        <v/>
      </c>
      <c r="IJ65" s="29" t="str">
        <f t="shared" si="18"/>
        <v>ColorNone</v>
      </c>
      <c r="IK65" s="8">
        <f t="shared" si="19"/>
        <v>0</v>
      </c>
      <c r="IL65" s="23"/>
    </row>
    <row r="66" spans="1:246" ht="14.25" thickBot="1" x14ac:dyDescent="0.2">
      <c r="A66" s="223"/>
      <c r="B66" s="6" t="s">
        <v>25</v>
      </c>
      <c r="C66" s="7" t="str">
        <f t="shared" si="5"/>
        <v/>
      </c>
      <c r="D66" s="91"/>
      <c r="E66" s="103"/>
      <c r="F66" s="97"/>
      <c r="G66" s="117"/>
      <c r="H66" s="98"/>
      <c r="I66" s="95"/>
      <c r="J66" s="96"/>
      <c r="K66" s="147" t="s">
        <v>105</v>
      </c>
      <c r="L66" s="158"/>
      <c r="M66" s="165"/>
      <c r="N66" s="159"/>
      <c r="O66" s="160"/>
      <c r="P66" s="169"/>
      <c r="Q66" s="21"/>
      <c r="R66" s="56"/>
      <c r="S66" s="58"/>
      <c r="T66" s="58"/>
      <c r="U66" s="58"/>
      <c r="V66" s="64"/>
      <c r="W66" s="60"/>
      <c r="X66" s="60"/>
      <c r="Y66" s="60"/>
      <c r="Z66" s="60"/>
      <c r="AA66" s="60"/>
      <c r="AB66" s="60"/>
      <c r="AC66" s="60"/>
      <c r="AD66" s="60"/>
      <c r="AE66" s="60"/>
      <c r="AF66" s="60"/>
      <c r="AG66" s="62"/>
      <c r="AH66" s="62"/>
      <c r="AI66" s="60"/>
      <c r="AJ66" s="60"/>
      <c r="AK66" s="60"/>
      <c r="AL66" s="56"/>
      <c r="AM66" s="58"/>
      <c r="AN66" s="58"/>
      <c r="AO66" s="58"/>
      <c r="AP66" s="62"/>
      <c r="AQ66" s="62"/>
      <c r="AR66" s="62"/>
      <c r="AS66" s="62"/>
      <c r="AT66" s="62"/>
      <c r="AU66" s="62"/>
      <c r="AV66" s="60"/>
      <c r="AW66" s="60"/>
      <c r="AX66" s="60"/>
      <c r="AY66" s="60"/>
      <c r="AZ66" s="60"/>
      <c r="BA66" s="60"/>
      <c r="BB66" s="60"/>
      <c r="BC66" s="60"/>
      <c r="BD66" s="60"/>
      <c r="BE66" s="60"/>
      <c r="BF66" s="56"/>
      <c r="BG66" s="58"/>
      <c r="BH66" s="58"/>
      <c r="BI66" s="58"/>
      <c r="BJ66" s="62"/>
      <c r="BK66" s="60"/>
      <c r="BL66" s="60"/>
      <c r="BM66" s="60"/>
      <c r="BN66" s="60"/>
      <c r="BO66" s="60"/>
      <c r="BP66" s="60"/>
      <c r="BQ66" s="60"/>
      <c r="BR66" s="60"/>
      <c r="BS66" s="60"/>
      <c r="BT66" s="60"/>
      <c r="BU66" s="60"/>
      <c r="BV66" s="60"/>
      <c r="BW66" s="60"/>
      <c r="BX66" s="60"/>
      <c r="BY66" s="60"/>
      <c r="BZ66" s="56"/>
      <c r="CA66" s="58"/>
      <c r="CB66" s="58"/>
      <c r="CC66" s="64"/>
      <c r="CD66" s="64"/>
      <c r="CE66" s="60"/>
      <c r="CF66" s="60"/>
      <c r="CG66" s="60"/>
      <c r="CH66" s="60"/>
      <c r="CI66" s="60"/>
      <c r="CJ66" s="60"/>
      <c r="CK66" s="60"/>
      <c r="CL66" s="60"/>
      <c r="CM66" s="60"/>
      <c r="CN66" s="60"/>
      <c r="CO66" s="60"/>
      <c r="CP66" s="60"/>
      <c r="CQ66" s="60"/>
      <c r="CR66" s="60"/>
      <c r="CS66" s="60"/>
      <c r="CT66" s="56"/>
      <c r="CU66" s="64"/>
      <c r="CV66" s="64"/>
      <c r="CW66" s="64"/>
      <c r="CX66" s="64"/>
      <c r="CY66" s="60"/>
      <c r="CZ66" s="60"/>
      <c r="DA66" s="60"/>
      <c r="DB66" s="60"/>
      <c r="DC66" s="60"/>
      <c r="DD66" s="60"/>
      <c r="DE66" s="60"/>
      <c r="DF66" s="60"/>
      <c r="DG66" s="60"/>
      <c r="DH66" s="60"/>
      <c r="DI66" s="60"/>
      <c r="DJ66" s="60"/>
      <c r="DK66" s="60"/>
      <c r="DL66" s="60"/>
      <c r="DM66" s="60"/>
      <c r="DN66" s="56"/>
      <c r="DO66" s="58"/>
      <c r="DP66" s="58"/>
      <c r="DQ66" s="64"/>
      <c r="DR66" s="60"/>
      <c r="DS66" s="60"/>
      <c r="DT66" s="60"/>
      <c r="DU66" s="60"/>
      <c r="DV66" s="60"/>
      <c r="DW66" s="60"/>
      <c r="DX66" s="60"/>
      <c r="DY66" s="60"/>
      <c r="DZ66" s="60"/>
      <c r="EA66" s="60"/>
      <c r="EB66" s="60"/>
      <c r="EC66" s="62"/>
      <c r="ED66" s="62"/>
      <c r="EE66" s="60"/>
      <c r="EF66" s="60"/>
      <c r="EG66" s="60"/>
      <c r="EH66" s="56"/>
      <c r="EI66" s="58"/>
      <c r="EJ66" s="58"/>
      <c r="EK66" s="64"/>
      <c r="EL66" s="60"/>
      <c r="EM66" s="60"/>
      <c r="EN66" s="60"/>
      <c r="EO66" s="60"/>
      <c r="EP66" s="60"/>
      <c r="EQ66" s="60"/>
      <c r="ER66" s="60"/>
      <c r="ES66" s="60"/>
      <c r="ET66" s="60"/>
      <c r="EU66" s="60"/>
      <c r="EV66" s="60"/>
      <c r="EW66" s="60"/>
      <c r="EX66" s="60"/>
      <c r="EY66" s="60"/>
      <c r="EZ66" s="60"/>
      <c r="FA66" s="60"/>
      <c r="FB66" s="56"/>
      <c r="FC66" s="64"/>
      <c r="FD66" s="64"/>
      <c r="FE66" s="64"/>
      <c r="FF66" s="60"/>
      <c r="FG66" s="60"/>
      <c r="FH66" s="60"/>
      <c r="FI66" s="60"/>
      <c r="FJ66" s="60"/>
      <c r="FK66" s="60"/>
      <c r="FL66" s="60"/>
      <c r="FM66" s="60"/>
      <c r="FN66" s="60"/>
      <c r="FO66" s="60"/>
      <c r="FP66" s="60"/>
      <c r="FQ66" s="60"/>
      <c r="FR66" s="60"/>
      <c r="FS66" s="60"/>
      <c r="FT66" s="60"/>
      <c r="FU66" s="60"/>
      <c r="FV66" s="56"/>
      <c r="FW66" s="64"/>
      <c r="FX66" s="64"/>
      <c r="FY66" s="64"/>
      <c r="FZ66" s="60"/>
      <c r="GA66" s="60"/>
      <c r="GB66" s="60"/>
      <c r="GC66" s="60"/>
      <c r="GD66" s="60"/>
      <c r="GE66" s="60"/>
      <c r="GF66" s="60"/>
      <c r="GG66" s="60"/>
      <c r="GH66" s="60"/>
      <c r="GI66" s="60"/>
      <c r="GJ66" s="60"/>
      <c r="GK66" s="60"/>
      <c r="GL66" s="60"/>
      <c r="GM66" s="60"/>
      <c r="GN66" s="60"/>
      <c r="GO66" s="60"/>
      <c r="GP66" s="56"/>
      <c r="GQ66" s="64"/>
      <c r="GR66" s="64"/>
      <c r="GS66" s="64"/>
      <c r="GT66" s="60"/>
      <c r="GU66" s="60"/>
      <c r="GV66" s="60"/>
      <c r="GW66" s="60"/>
      <c r="GX66" s="60"/>
      <c r="GY66" s="60"/>
      <c r="GZ66" s="62"/>
      <c r="HA66" s="62"/>
      <c r="HB66" s="62"/>
      <c r="HC66" s="62"/>
      <c r="HD66" s="62"/>
      <c r="HE66" s="62"/>
      <c r="HF66" s="62"/>
      <c r="HG66" s="62"/>
      <c r="HH66" s="62"/>
      <c r="HI66" s="62"/>
      <c r="HJ66" s="56"/>
      <c r="HK66" s="58"/>
      <c r="HL66" s="58"/>
      <c r="HM66" s="58"/>
      <c r="HN66" s="62"/>
      <c r="HO66" s="62"/>
      <c r="HP66" s="62"/>
      <c r="HQ66" s="62"/>
      <c r="HR66" s="62"/>
      <c r="HS66" s="62"/>
      <c r="HT66" s="62"/>
      <c r="HU66" s="62"/>
      <c r="HV66" s="62"/>
      <c r="HW66" s="62"/>
      <c r="HX66" s="62"/>
      <c r="HY66" s="62"/>
      <c r="HZ66" s="62"/>
      <c r="IA66" s="62"/>
      <c r="IB66" s="62"/>
      <c r="IC66" s="62"/>
      <c r="ID66" s="4"/>
      <c r="IF66" s="23"/>
      <c r="IG66" s="28"/>
      <c r="IH66" s="28" t="s">
        <v>97</v>
      </c>
      <c r="II66" s="29" t="str">
        <f t="shared" si="17"/>
        <v/>
      </c>
      <c r="IJ66" s="29" t="str">
        <f t="shared" si="18"/>
        <v>ColorNone</v>
      </c>
      <c r="IK66" s="8">
        <f t="shared" si="19"/>
        <v>0</v>
      </c>
      <c r="IL66" s="23"/>
    </row>
    <row r="67" spans="1:246" ht="14.25" thickBot="1" x14ac:dyDescent="0.2">
      <c r="A67" s="223"/>
      <c r="B67" s="6" t="s">
        <v>87</v>
      </c>
      <c r="C67" s="7" t="str">
        <f t="shared" si="5"/>
        <v/>
      </c>
      <c r="D67" s="91"/>
      <c r="E67" s="103"/>
      <c r="F67" s="97"/>
      <c r="G67" s="117"/>
      <c r="H67" s="98"/>
      <c r="I67" s="95"/>
      <c r="J67" s="96"/>
      <c r="K67" s="147" t="s">
        <v>105</v>
      </c>
      <c r="L67" s="158"/>
      <c r="M67" s="165"/>
      <c r="N67" s="159"/>
      <c r="O67" s="160"/>
      <c r="P67" s="169"/>
      <c r="Q67" s="21"/>
      <c r="R67" s="56"/>
      <c r="S67" s="58"/>
      <c r="T67" s="58"/>
      <c r="U67" s="58"/>
      <c r="V67" s="64"/>
      <c r="W67" s="60"/>
      <c r="X67" s="60"/>
      <c r="Y67" s="60"/>
      <c r="Z67" s="60"/>
      <c r="AA67" s="60"/>
      <c r="AB67" s="60"/>
      <c r="AC67" s="60"/>
      <c r="AD67" s="60"/>
      <c r="AE67" s="60"/>
      <c r="AF67" s="60"/>
      <c r="AG67" s="62"/>
      <c r="AH67" s="62"/>
      <c r="AI67" s="60"/>
      <c r="AJ67" s="60"/>
      <c r="AK67" s="60"/>
      <c r="AL67" s="56"/>
      <c r="AM67" s="58"/>
      <c r="AN67" s="58"/>
      <c r="AO67" s="58"/>
      <c r="AP67" s="62"/>
      <c r="AQ67" s="62"/>
      <c r="AR67" s="62"/>
      <c r="AS67" s="62"/>
      <c r="AT67" s="62"/>
      <c r="AU67" s="62"/>
      <c r="AV67" s="60"/>
      <c r="AW67" s="60"/>
      <c r="AX67" s="60"/>
      <c r="AY67" s="60"/>
      <c r="AZ67" s="60"/>
      <c r="BA67" s="60"/>
      <c r="BB67" s="60"/>
      <c r="BC67" s="60"/>
      <c r="BD67" s="60"/>
      <c r="BE67" s="60"/>
      <c r="BF67" s="56"/>
      <c r="BG67" s="58"/>
      <c r="BH67" s="58"/>
      <c r="BI67" s="58"/>
      <c r="BJ67" s="62"/>
      <c r="BK67" s="60"/>
      <c r="BL67" s="60"/>
      <c r="BM67" s="60"/>
      <c r="BN67" s="60"/>
      <c r="BO67" s="60"/>
      <c r="BP67" s="60"/>
      <c r="BQ67" s="60"/>
      <c r="BR67" s="60"/>
      <c r="BS67" s="60"/>
      <c r="BT67" s="60"/>
      <c r="BU67" s="60"/>
      <c r="BV67" s="60"/>
      <c r="BW67" s="60"/>
      <c r="BX67" s="60"/>
      <c r="BY67" s="60"/>
      <c r="BZ67" s="56"/>
      <c r="CA67" s="58"/>
      <c r="CB67" s="58"/>
      <c r="CC67" s="64"/>
      <c r="CD67" s="64"/>
      <c r="CE67" s="60"/>
      <c r="CF67" s="60"/>
      <c r="CG67" s="60"/>
      <c r="CH67" s="60"/>
      <c r="CI67" s="60"/>
      <c r="CJ67" s="60"/>
      <c r="CK67" s="60"/>
      <c r="CL67" s="60"/>
      <c r="CM67" s="60"/>
      <c r="CN67" s="60"/>
      <c r="CO67" s="60"/>
      <c r="CP67" s="60"/>
      <c r="CQ67" s="60"/>
      <c r="CR67" s="60"/>
      <c r="CS67" s="60"/>
      <c r="CT67" s="56"/>
      <c r="CU67" s="64"/>
      <c r="CV67" s="64"/>
      <c r="CW67" s="64"/>
      <c r="CX67" s="64"/>
      <c r="CY67" s="60"/>
      <c r="CZ67" s="60"/>
      <c r="DA67" s="60"/>
      <c r="DB67" s="60"/>
      <c r="DC67" s="60"/>
      <c r="DD67" s="60"/>
      <c r="DE67" s="60"/>
      <c r="DF67" s="60"/>
      <c r="DG67" s="60"/>
      <c r="DH67" s="60"/>
      <c r="DI67" s="60"/>
      <c r="DJ67" s="60"/>
      <c r="DK67" s="60"/>
      <c r="DL67" s="60"/>
      <c r="DM67" s="60"/>
      <c r="DN67" s="56"/>
      <c r="DO67" s="58"/>
      <c r="DP67" s="58"/>
      <c r="DQ67" s="64"/>
      <c r="DR67" s="60"/>
      <c r="DS67" s="60"/>
      <c r="DT67" s="60"/>
      <c r="DU67" s="60"/>
      <c r="DV67" s="60"/>
      <c r="DW67" s="60"/>
      <c r="DX67" s="60"/>
      <c r="DY67" s="60"/>
      <c r="DZ67" s="60"/>
      <c r="EA67" s="60"/>
      <c r="EB67" s="60"/>
      <c r="EC67" s="62"/>
      <c r="ED67" s="62"/>
      <c r="EE67" s="60"/>
      <c r="EF67" s="60"/>
      <c r="EG67" s="60"/>
      <c r="EH67" s="56"/>
      <c r="EI67" s="58"/>
      <c r="EJ67" s="58"/>
      <c r="EK67" s="64"/>
      <c r="EL67" s="60"/>
      <c r="EM67" s="60"/>
      <c r="EN67" s="60"/>
      <c r="EO67" s="60"/>
      <c r="EP67" s="60"/>
      <c r="EQ67" s="60"/>
      <c r="ER67" s="60"/>
      <c r="ES67" s="60"/>
      <c r="ET67" s="60"/>
      <c r="EU67" s="60"/>
      <c r="EV67" s="60"/>
      <c r="EW67" s="60"/>
      <c r="EX67" s="60"/>
      <c r="EY67" s="60"/>
      <c r="EZ67" s="60"/>
      <c r="FA67" s="60"/>
      <c r="FB67" s="56"/>
      <c r="FC67" s="64"/>
      <c r="FD67" s="64"/>
      <c r="FE67" s="64"/>
      <c r="FF67" s="60"/>
      <c r="FG67" s="60"/>
      <c r="FH67" s="60"/>
      <c r="FI67" s="60"/>
      <c r="FJ67" s="60"/>
      <c r="FK67" s="60"/>
      <c r="FL67" s="60"/>
      <c r="FM67" s="60"/>
      <c r="FN67" s="60"/>
      <c r="FO67" s="60"/>
      <c r="FP67" s="60"/>
      <c r="FQ67" s="60"/>
      <c r="FR67" s="60"/>
      <c r="FS67" s="60"/>
      <c r="FT67" s="60"/>
      <c r="FU67" s="60"/>
      <c r="FV67" s="56"/>
      <c r="FW67" s="64"/>
      <c r="FX67" s="64"/>
      <c r="FY67" s="64"/>
      <c r="FZ67" s="60"/>
      <c r="GA67" s="60"/>
      <c r="GB67" s="60"/>
      <c r="GC67" s="60"/>
      <c r="GD67" s="60"/>
      <c r="GE67" s="60"/>
      <c r="GF67" s="60"/>
      <c r="GG67" s="60"/>
      <c r="GH67" s="60"/>
      <c r="GI67" s="60"/>
      <c r="GJ67" s="60"/>
      <c r="GK67" s="60"/>
      <c r="GL67" s="60"/>
      <c r="GM67" s="60"/>
      <c r="GN67" s="60"/>
      <c r="GO67" s="60"/>
      <c r="GP67" s="56"/>
      <c r="GQ67" s="64"/>
      <c r="GR67" s="64"/>
      <c r="GS67" s="64"/>
      <c r="GT67" s="60"/>
      <c r="GU67" s="60"/>
      <c r="GV67" s="60"/>
      <c r="GW67" s="60"/>
      <c r="GX67" s="60"/>
      <c r="GY67" s="60"/>
      <c r="GZ67" s="62"/>
      <c r="HA67" s="62"/>
      <c r="HB67" s="62"/>
      <c r="HC67" s="62"/>
      <c r="HD67" s="62"/>
      <c r="HE67" s="62"/>
      <c r="HF67" s="62"/>
      <c r="HG67" s="62"/>
      <c r="HH67" s="62"/>
      <c r="HI67" s="62"/>
      <c r="HJ67" s="56"/>
      <c r="HK67" s="58"/>
      <c r="HL67" s="58"/>
      <c r="HM67" s="58"/>
      <c r="HN67" s="62"/>
      <c r="HO67" s="62"/>
      <c r="HP67" s="62"/>
      <c r="HQ67" s="62"/>
      <c r="HR67" s="62"/>
      <c r="HS67" s="62"/>
      <c r="HT67" s="62"/>
      <c r="HU67" s="62"/>
      <c r="HV67" s="62"/>
      <c r="HW67" s="62"/>
      <c r="HX67" s="62"/>
      <c r="HY67" s="62"/>
      <c r="HZ67" s="62"/>
      <c r="IA67" s="62"/>
      <c r="IB67" s="62"/>
      <c r="IC67" s="62"/>
      <c r="ID67" s="4"/>
      <c r="IF67" s="23"/>
      <c r="IG67" s="28"/>
      <c r="IH67" s="28" t="s">
        <v>97</v>
      </c>
      <c r="II67" s="29" t="str">
        <f t="shared" si="17"/>
        <v/>
      </c>
      <c r="IJ67" s="29" t="str">
        <f t="shared" si="18"/>
        <v>ColorNone</v>
      </c>
      <c r="IK67" s="8">
        <f t="shared" si="19"/>
        <v>0</v>
      </c>
      <c r="IL67" s="23"/>
    </row>
    <row r="68" spans="1:246" ht="14.25" thickBot="1" x14ac:dyDescent="0.2">
      <c r="A68" s="223"/>
      <c r="B68" s="6" t="s">
        <v>50</v>
      </c>
      <c r="C68" s="7" t="str">
        <f t="shared" si="5"/>
        <v/>
      </c>
      <c r="D68" s="91"/>
      <c r="E68" s="103"/>
      <c r="F68" s="97"/>
      <c r="G68" s="117"/>
      <c r="H68" s="98"/>
      <c r="I68" s="95"/>
      <c r="J68" s="96"/>
      <c r="K68" s="147" t="s">
        <v>105</v>
      </c>
      <c r="L68" s="158"/>
      <c r="M68" s="165"/>
      <c r="N68" s="159"/>
      <c r="O68" s="160"/>
      <c r="P68" s="169"/>
      <c r="Q68" s="21"/>
      <c r="R68" s="56"/>
      <c r="S68" s="58"/>
      <c r="T68" s="58"/>
      <c r="U68" s="58"/>
      <c r="V68" s="64"/>
      <c r="W68" s="60"/>
      <c r="X68" s="60"/>
      <c r="Y68" s="60"/>
      <c r="Z68" s="60"/>
      <c r="AA68" s="60"/>
      <c r="AB68" s="60"/>
      <c r="AC68" s="60"/>
      <c r="AD68" s="60"/>
      <c r="AE68" s="60"/>
      <c r="AF68" s="60"/>
      <c r="AG68" s="62"/>
      <c r="AH68" s="62"/>
      <c r="AI68" s="60"/>
      <c r="AJ68" s="60"/>
      <c r="AK68" s="60"/>
      <c r="AL68" s="56"/>
      <c r="AM68" s="58"/>
      <c r="AN68" s="58"/>
      <c r="AO68" s="58"/>
      <c r="AP68" s="62"/>
      <c r="AQ68" s="62"/>
      <c r="AR68" s="62"/>
      <c r="AS68" s="62"/>
      <c r="AT68" s="62"/>
      <c r="AU68" s="62"/>
      <c r="AV68" s="60"/>
      <c r="AW68" s="60"/>
      <c r="AX68" s="60"/>
      <c r="AY68" s="60"/>
      <c r="AZ68" s="60"/>
      <c r="BA68" s="60"/>
      <c r="BB68" s="60"/>
      <c r="BC68" s="60"/>
      <c r="BD68" s="60"/>
      <c r="BE68" s="60"/>
      <c r="BF68" s="56"/>
      <c r="BG68" s="58"/>
      <c r="BH68" s="58"/>
      <c r="BI68" s="58"/>
      <c r="BJ68" s="62"/>
      <c r="BK68" s="60"/>
      <c r="BL68" s="60"/>
      <c r="BM68" s="60"/>
      <c r="BN68" s="60"/>
      <c r="BO68" s="60"/>
      <c r="BP68" s="60"/>
      <c r="BQ68" s="60"/>
      <c r="BR68" s="60"/>
      <c r="BS68" s="60"/>
      <c r="BT68" s="60"/>
      <c r="BU68" s="60"/>
      <c r="BV68" s="60"/>
      <c r="BW68" s="60"/>
      <c r="BX68" s="60"/>
      <c r="BY68" s="60"/>
      <c r="BZ68" s="56"/>
      <c r="CA68" s="58"/>
      <c r="CB68" s="58"/>
      <c r="CC68" s="64"/>
      <c r="CD68" s="64"/>
      <c r="CE68" s="60"/>
      <c r="CF68" s="60"/>
      <c r="CG68" s="60"/>
      <c r="CH68" s="60"/>
      <c r="CI68" s="60"/>
      <c r="CJ68" s="60"/>
      <c r="CK68" s="60"/>
      <c r="CL68" s="60"/>
      <c r="CM68" s="60"/>
      <c r="CN68" s="60"/>
      <c r="CO68" s="60"/>
      <c r="CP68" s="60"/>
      <c r="CQ68" s="60"/>
      <c r="CR68" s="60"/>
      <c r="CS68" s="60"/>
      <c r="CT68" s="56"/>
      <c r="CU68" s="64"/>
      <c r="CV68" s="64"/>
      <c r="CW68" s="64"/>
      <c r="CX68" s="64"/>
      <c r="CY68" s="60"/>
      <c r="CZ68" s="60"/>
      <c r="DA68" s="60"/>
      <c r="DB68" s="60"/>
      <c r="DC68" s="60"/>
      <c r="DD68" s="60"/>
      <c r="DE68" s="60"/>
      <c r="DF68" s="60"/>
      <c r="DG68" s="60"/>
      <c r="DH68" s="60"/>
      <c r="DI68" s="60"/>
      <c r="DJ68" s="60"/>
      <c r="DK68" s="60"/>
      <c r="DL68" s="60"/>
      <c r="DM68" s="60"/>
      <c r="DN68" s="56"/>
      <c r="DO68" s="58"/>
      <c r="DP68" s="58"/>
      <c r="DQ68" s="64"/>
      <c r="DR68" s="60"/>
      <c r="DS68" s="60"/>
      <c r="DT68" s="60"/>
      <c r="DU68" s="60"/>
      <c r="DV68" s="60"/>
      <c r="DW68" s="60"/>
      <c r="DX68" s="60"/>
      <c r="DY68" s="60"/>
      <c r="DZ68" s="60"/>
      <c r="EA68" s="60"/>
      <c r="EB68" s="60"/>
      <c r="EC68" s="62"/>
      <c r="ED68" s="62"/>
      <c r="EE68" s="60"/>
      <c r="EF68" s="60"/>
      <c r="EG68" s="60"/>
      <c r="EH68" s="56"/>
      <c r="EI68" s="58"/>
      <c r="EJ68" s="58"/>
      <c r="EK68" s="64"/>
      <c r="EL68" s="60"/>
      <c r="EM68" s="60"/>
      <c r="EN68" s="60"/>
      <c r="EO68" s="60"/>
      <c r="EP68" s="60"/>
      <c r="EQ68" s="60"/>
      <c r="ER68" s="60"/>
      <c r="ES68" s="60"/>
      <c r="ET68" s="60"/>
      <c r="EU68" s="60"/>
      <c r="EV68" s="60"/>
      <c r="EW68" s="60"/>
      <c r="EX68" s="60"/>
      <c r="EY68" s="60"/>
      <c r="EZ68" s="60"/>
      <c r="FA68" s="60"/>
      <c r="FB68" s="56"/>
      <c r="FC68" s="64"/>
      <c r="FD68" s="64"/>
      <c r="FE68" s="64"/>
      <c r="FF68" s="60"/>
      <c r="FG68" s="60"/>
      <c r="FH68" s="60"/>
      <c r="FI68" s="60"/>
      <c r="FJ68" s="60"/>
      <c r="FK68" s="60"/>
      <c r="FL68" s="60"/>
      <c r="FM68" s="60"/>
      <c r="FN68" s="60"/>
      <c r="FO68" s="60"/>
      <c r="FP68" s="60"/>
      <c r="FQ68" s="60"/>
      <c r="FR68" s="60"/>
      <c r="FS68" s="60"/>
      <c r="FT68" s="60"/>
      <c r="FU68" s="60"/>
      <c r="FV68" s="56"/>
      <c r="FW68" s="64"/>
      <c r="FX68" s="64"/>
      <c r="FY68" s="64"/>
      <c r="FZ68" s="60"/>
      <c r="GA68" s="60"/>
      <c r="GB68" s="60"/>
      <c r="GC68" s="60"/>
      <c r="GD68" s="60"/>
      <c r="GE68" s="60"/>
      <c r="GF68" s="60"/>
      <c r="GG68" s="60"/>
      <c r="GH68" s="60"/>
      <c r="GI68" s="60"/>
      <c r="GJ68" s="60"/>
      <c r="GK68" s="60"/>
      <c r="GL68" s="60"/>
      <c r="GM68" s="60"/>
      <c r="GN68" s="60"/>
      <c r="GO68" s="60"/>
      <c r="GP68" s="56"/>
      <c r="GQ68" s="64"/>
      <c r="GR68" s="64"/>
      <c r="GS68" s="64"/>
      <c r="GT68" s="60"/>
      <c r="GU68" s="60"/>
      <c r="GV68" s="60"/>
      <c r="GW68" s="60"/>
      <c r="GX68" s="60"/>
      <c r="GY68" s="60"/>
      <c r="GZ68" s="62"/>
      <c r="HA68" s="62"/>
      <c r="HB68" s="62"/>
      <c r="HC68" s="62"/>
      <c r="HD68" s="62"/>
      <c r="HE68" s="62"/>
      <c r="HF68" s="62"/>
      <c r="HG68" s="62"/>
      <c r="HH68" s="62"/>
      <c r="HI68" s="62"/>
      <c r="HJ68" s="56"/>
      <c r="HK68" s="58"/>
      <c r="HL68" s="58"/>
      <c r="HM68" s="58"/>
      <c r="HN68" s="62"/>
      <c r="HO68" s="62"/>
      <c r="HP68" s="62"/>
      <c r="HQ68" s="62"/>
      <c r="HR68" s="62"/>
      <c r="HS68" s="62"/>
      <c r="HT68" s="62"/>
      <c r="HU68" s="62"/>
      <c r="HV68" s="62"/>
      <c r="HW68" s="62"/>
      <c r="HX68" s="62"/>
      <c r="HY68" s="62"/>
      <c r="HZ68" s="62"/>
      <c r="IA68" s="62"/>
      <c r="IB68" s="62"/>
      <c r="IC68" s="62"/>
      <c r="ID68" s="4"/>
      <c r="IF68" s="23"/>
      <c r="IG68" s="28"/>
      <c r="IH68" s="28" t="s">
        <v>97</v>
      </c>
      <c r="II68" s="29" t="str">
        <f t="shared" si="17"/>
        <v/>
      </c>
      <c r="IJ68" s="29" t="str">
        <f t="shared" si="18"/>
        <v>ColorNone</v>
      </c>
      <c r="IK68" s="8">
        <f t="shared" si="19"/>
        <v>0</v>
      </c>
      <c r="IL68" s="23"/>
    </row>
    <row r="69" spans="1:246" ht="14.25" thickBot="1" x14ac:dyDescent="0.2">
      <c r="A69" s="223"/>
      <c r="B69" s="6" t="s">
        <v>51</v>
      </c>
      <c r="C69" s="7" t="str">
        <f t="shared" si="5"/>
        <v/>
      </c>
      <c r="D69" s="91"/>
      <c r="E69" s="103"/>
      <c r="F69" s="97"/>
      <c r="G69" s="117"/>
      <c r="H69" s="98"/>
      <c r="I69" s="95"/>
      <c r="J69" s="96"/>
      <c r="K69" s="147" t="s">
        <v>105</v>
      </c>
      <c r="L69" s="158"/>
      <c r="M69" s="165"/>
      <c r="N69" s="159"/>
      <c r="O69" s="160"/>
      <c r="P69" s="169"/>
      <c r="Q69" s="21"/>
      <c r="R69" s="56"/>
      <c r="S69" s="58"/>
      <c r="T69" s="58"/>
      <c r="U69" s="58"/>
      <c r="V69" s="64"/>
      <c r="W69" s="60"/>
      <c r="X69" s="60"/>
      <c r="Y69" s="60"/>
      <c r="Z69" s="60"/>
      <c r="AA69" s="60"/>
      <c r="AB69" s="60"/>
      <c r="AC69" s="60"/>
      <c r="AD69" s="60"/>
      <c r="AE69" s="60"/>
      <c r="AF69" s="60"/>
      <c r="AG69" s="62"/>
      <c r="AH69" s="62"/>
      <c r="AI69" s="60"/>
      <c r="AJ69" s="60"/>
      <c r="AK69" s="60"/>
      <c r="AL69" s="56"/>
      <c r="AM69" s="58"/>
      <c r="AN69" s="58"/>
      <c r="AO69" s="58"/>
      <c r="AP69" s="62"/>
      <c r="AQ69" s="62"/>
      <c r="AR69" s="62"/>
      <c r="AS69" s="62"/>
      <c r="AT69" s="62"/>
      <c r="AU69" s="62"/>
      <c r="AV69" s="60"/>
      <c r="AW69" s="60"/>
      <c r="AX69" s="60"/>
      <c r="AY69" s="60"/>
      <c r="AZ69" s="60"/>
      <c r="BA69" s="60"/>
      <c r="BB69" s="60"/>
      <c r="BC69" s="60"/>
      <c r="BD69" s="60"/>
      <c r="BE69" s="60"/>
      <c r="BF69" s="56"/>
      <c r="BG69" s="58"/>
      <c r="BH69" s="58"/>
      <c r="BI69" s="58"/>
      <c r="BJ69" s="62"/>
      <c r="BK69" s="60"/>
      <c r="BL69" s="60"/>
      <c r="BM69" s="60"/>
      <c r="BN69" s="60"/>
      <c r="BO69" s="60"/>
      <c r="BP69" s="60"/>
      <c r="BQ69" s="60"/>
      <c r="BR69" s="60"/>
      <c r="BS69" s="60"/>
      <c r="BT69" s="60"/>
      <c r="BU69" s="60"/>
      <c r="BV69" s="60"/>
      <c r="BW69" s="60"/>
      <c r="BX69" s="60"/>
      <c r="BY69" s="60"/>
      <c r="BZ69" s="56"/>
      <c r="CA69" s="58"/>
      <c r="CB69" s="58"/>
      <c r="CC69" s="64"/>
      <c r="CD69" s="64"/>
      <c r="CE69" s="60"/>
      <c r="CF69" s="60"/>
      <c r="CG69" s="60"/>
      <c r="CH69" s="60"/>
      <c r="CI69" s="60"/>
      <c r="CJ69" s="60"/>
      <c r="CK69" s="60"/>
      <c r="CL69" s="60"/>
      <c r="CM69" s="60"/>
      <c r="CN69" s="60"/>
      <c r="CO69" s="60"/>
      <c r="CP69" s="60"/>
      <c r="CQ69" s="60"/>
      <c r="CR69" s="60"/>
      <c r="CS69" s="60"/>
      <c r="CT69" s="56"/>
      <c r="CU69" s="64"/>
      <c r="CV69" s="64"/>
      <c r="CW69" s="64"/>
      <c r="CX69" s="64"/>
      <c r="CY69" s="60"/>
      <c r="CZ69" s="60"/>
      <c r="DA69" s="60"/>
      <c r="DB69" s="60"/>
      <c r="DC69" s="60"/>
      <c r="DD69" s="60"/>
      <c r="DE69" s="60"/>
      <c r="DF69" s="60"/>
      <c r="DG69" s="60"/>
      <c r="DH69" s="60"/>
      <c r="DI69" s="60"/>
      <c r="DJ69" s="60"/>
      <c r="DK69" s="60"/>
      <c r="DL69" s="60"/>
      <c r="DM69" s="60"/>
      <c r="DN69" s="56"/>
      <c r="DO69" s="58"/>
      <c r="DP69" s="58"/>
      <c r="DQ69" s="64"/>
      <c r="DR69" s="60"/>
      <c r="DS69" s="60"/>
      <c r="DT69" s="60"/>
      <c r="DU69" s="60"/>
      <c r="DV69" s="60"/>
      <c r="DW69" s="60"/>
      <c r="DX69" s="60"/>
      <c r="DY69" s="60"/>
      <c r="DZ69" s="60"/>
      <c r="EA69" s="60"/>
      <c r="EB69" s="60"/>
      <c r="EC69" s="62"/>
      <c r="ED69" s="62"/>
      <c r="EE69" s="60"/>
      <c r="EF69" s="60"/>
      <c r="EG69" s="60"/>
      <c r="EH69" s="56"/>
      <c r="EI69" s="58"/>
      <c r="EJ69" s="58"/>
      <c r="EK69" s="64"/>
      <c r="EL69" s="60"/>
      <c r="EM69" s="60"/>
      <c r="EN69" s="60"/>
      <c r="EO69" s="60"/>
      <c r="EP69" s="60"/>
      <c r="EQ69" s="60"/>
      <c r="ER69" s="60"/>
      <c r="ES69" s="60"/>
      <c r="ET69" s="60"/>
      <c r="EU69" s="60"/>
      <c r="EV69" s="60"/>
      <c r="EW69" s="60"/>
      <c r="EX69" s="60"/>
      <c r="EY69" s="60"/>
      <c r="EZ69" s="60"/>
      <c r="FA69" s="60"/>
      <c r="FB69" s="56"/>
      <c r="FC69" s="64"/>
      <c r="FD69" s="64"/>
      <c r="FE69" s="64"/>
      <c r="FF69" s="60"/>
      <c r="FG69" s="60"/>
      <c r="FH69" s="60"/>
      <c r="FI69" s="60"/>
      <c r="FJ69" s="60"/>
      <c r="FK69" s="60"/>
      <c r="FL69" s="60"/>
      <c r="FM69" s="60"/>
      <c r="FN69" s="60"/>
      <c r="FO69" s="60"/>
      <c r="FP69" s="60"/>
      <c r="FQ69" s="60"/>
      <c r="FR69" s="60"/>
      <c r="FS69" s="60"/>
      <c r="FT69" s="60"/>
      <c r="FU69" s="60"/>
      <c r="FV69" s="56"/>
      <c r="FW69" s="64"/>
      <c r="FX69" s="64"/>
      <c r="FY69" s="64"/>
      <c r="FZ69" s="60"/>
      <c r="GA69" s="60"/>
      <c r="GB69" s="60"/>
      <c r="GC69" s="60"/>
      <c r="GD69" s="60"/>
      <c r="GE69" s="60"/>
      <c r="GF69" s="60"/>
      <c r="GG69" s="60"/>
      <c r="GH69" s="60"/>
      <c r="GI69" s="60"/>
      <c r="GJ69" s="60"/>
      <c r="GK69" s="60"/>
      <c r="GL69" s="60"/>
      <c r="GM69" s="60"/>
      <c r="GN69" s="60"/>
      <c r="GO69" s="60"/>
      <c r="GP69" s="56"/>
      <c r="GQ69" s="64"/>
      <c r="GR69" s="64"/>
      <c r="GS69" s="64"/>
      <c r="GT69" s="60"/>
      <c r="GU69" s="60"/>
      <c r="GV69" s="60"/>
      <c r="GW69" s="60"/>
      <c r="GX69" s="60"/>
      <c r="GY69" s="60"/>
      <c r="GZ69" s="62"/>
      <c r="HA69" s="62"/>
      <c r="HB69" s="62"/>
      <c r="HC69" s="62"/>
      <c r="HD69" s="62"/>
      <c r="HE69" s="62"/>
      <c r="HF69" s="62"/>
      <c r="HG69" s="62"/>
      <c r="HH69" s="62"/>
      <c r="HI69" s="62"/>
      <c r="HJ69" s="56"/>
      <c r="HK69" s="58"/>
      <c r="HL69" s="58"/>
      <c r="HM69" s="58"/>
      <c r="HN69" s="62"/>
      <c r="HO69" s="62"/>
      <c r="HP69" s="62"/>
      <c r="HQ69" s="62"/>
      <c r="HR69" s="62"/>
      <c r="HS69" s="62"/>
      <c r="HT69" s="62"/>
      <c r="HU69" s="62"/>
      <c r="HV69" s="62"/>
      <c r="HW69" s="62"/>
      <c r="HX69" s="62"/>
      <c r="HY69" s="62"/>
      <c r="HZ69" s="62"/>
      <c r="IA69" s="62"/>
      <c r="IB69" s="62"/>
      <c r="IC69" s="62"/>
      <c r="ID69" s="4"/>
      <c r="IF69" s="23"/>
      <c r="IG69" s="28"/>
      <c r="IH69" s="28" t="s">
        <v>97</v>
      </c>
      <c r="II69" s="29" t="str">
        <f t="shared" si="17"/>
        <v/>
      </c>
      <c r="IJ69" s="29" t="str">
        <f t="shared" si="18"/>
        <v>ColorNone</v>
      </c>
      <c r="IK69" s="8">
        <f t="shared" si="19"/>
        <v>0</v>
      </c>
      <c r="IL69" s="23"/>
    </row>
    <row r="70" spans="1:246" ht="14.25" thickBot="1" x14ac:dyDescent="0.2">
      <c r="A70" s="225"/>
      <c r="B70" s="74" t="s">
        <v>52</v>
      </c>
      <c r="C70" s="75" t="str">
        <f t="shared" si="5"/>
        <v/>
      </c>
      <c r="D70" s="104"/>
      <c r="E70" s="105"/>
      <c r="F70" s="106"/>
      <c r="G70" s="117"/>
      <c r="H70" s="107"/>
      <c r="I70" s="108"/>
      <c r="J70" s="109"/>
      <c r="K70" s="149" t="s">
        <v>105</v>
      </c>
      <c r="L70" s="161"/>
      <c r="M70" s="165"/>
      <c r="N70" s="162"/>
      <c r="O70" s="163"/>
      <c r="P70" s="170"/>
      <c r="Q70" s="76"/>
      <c r="R70" s="77"/>
      <c r="S70" s="78"/>
      <c r="T70" s="78"/>
      <c r="U70" s="78"/>
      <c r="V70" s="81"/>
      <c r="W70" s="79"/>
      <c r="X70" s="79"/>
      <c r="Y70" s="79"/>
      <c r="Z70" s="79"/>
      <c r="AA70" s="79"/>
      <c r="AB70" s="79"/>
      <c r="AC70" s="79"/>
      <c r="AD70" s="79"/>
      <c r="AE70" s="79"/>
      <c r="AF70" s="79"/>
      <c r="AG70" s="80"/>
      <c r="AH70" s="80"/>
      <c r="AI70" s="79"/>
      <c r="AJ70" s="79"/>
      <c r="AK70" s="79"/>
      <c r="AL70" s="77"/>
      <c r="AM70" s="78"/>
      <c r="AN70" s="78"/>
      <c r="AO70" s="78"/>
      <c r="AP70" s="80"/>
      <c r="AQ70" s="80"/>
      <c r="AR70" s="80"/>
      <c r="AS70" s="80"/>
      <c r="AT70" s="80"/>
      <c r="AU70" s="80"/>
      <c r="AV70" s="79"/>
      <c r="AW70" s="79"/>
      <c r="AX70" s="79"/>
      <c r="AY70" s="79"/>
      <c r="AZ70" s="79"/>
      <c r="BA70" s="79"/>
      <c r="BB70" s="79"/>
      <c r="BC70" s="79"/>
      <c r="BD70" s="79"/>
      <c r="BE70" s="79"/>
      <c r="BF70" s="77"/>
      <c r="BG70" s="78"/>
      <c r="BH70" s="78"/>
      <c r="BI70" s="78"/>
      <c r="BJ70" s="80"/>
      <c r="BK70" s="79"/>
      <c r="BL70" s="79"/>
      <c r="BM70" s="79"/>
      <c r="BN70" s="79"/>
      <c r="BO70" s="79"/>
      <c r="BP70" s="79"/>
      <c r="BQ70" s="79"/>
      <c r="BR70" s="79"/>
      <c r="BS70" s="79"/>
      <c r="BT70" s="79"/>
      <c r="BU70" s="79"/>
      <c r="BV70" s="79"/>
      <c r="BW70" s="79"/>
      <c r="BX70" s="79"/>
      <c r="BY70" s="79"/>
      <c r="BZ70" s="77"/>
      <c r="CA70" s="78"/>
      <c r="CB70" s="78"/>
      <c r="CC70" s="81"/>
      <c r="CD70" s="81"/>
      <c r="CE70" s="79"/>
      <c r="CF70" s="79"/>
      <c r="CG70" s="79"/>
      <c r="CH70" s="79"/>
      <c r="CI70" s="79"/>
      <c r="CJ70" s="79"/>
      <c r="CK70" s="79"/>
      <c r="CL70" s="79"/>
      <c r="CM70" s="79"/>
      <c r="CN70" s="79"/>
      <c r="CO70" s="79"/>
      <c r="CP70" s="79"/>
      <c r="CQ70" s="79"/>
      <c r="CR70" s="79"/>
      <c r="CS70" s="79"/>
      <c r="CT70" s="77"/>
      <c r="CU70" s="81"/>
      <c r="CV70" s="81"/>
      <c r="CW70" s="81"/>
      <c r="CX70" s="81"/>
      <c r="CY70" s="79"/>
      <c r="CZ70" s="79"/>
      <c r="DA70" s="79"/>
      <c r="DB70" s="79"/>
      <c r="DC70" s="79"/>
      <c r="DD70" s="79"/>
      <c r="DE70" s="79"/>
      <c r="DF70" s="79"/>
      <c r="DG70" s="79"/>
      <c r="DH70" s="79"/>
      <c r="DI70" s="79"/>
      <c r="DJ70" s="79"/>
      <c r="DK70" s="79"/>
      <c r="DL70" s="79"/>
      <c r="DM70" s="79"/>
      <c r="DN70" s="77"/>
      <c r="DO70" s="78"/>
      <c r="DP70" s="78"/>
      <c r="DQ70" s="81"/>
      <c r="DR70" s="79"/>
      <c r="DS70" s="79"/>
      <c r="DT70" s="79"/>
      <c r="DU70" s="79"/>
      <c r="DV70" s="79"/>
      <c r="DW70" s="79"/>
      <c r="DX70" s="79"/>
      <c r="DY70" s="79"/>
      <c r="DZ70" s="79"/>
      <c r="EA70" s="79"/>
      <c r="EB70" s="79"/>
      <c r="EC70" s="80"/>
      <c r="ED70" s="80"/>
      <c r="EE70" s="79"/>
      <c r="EF70" s="79"/>
      <c r="EG70" s="79"/>
      <c r="EH70" s="77"/>
      <c r="EI70" s="78"/>
      <c r="EJ70" s="78"/>
      <c r="EK70" s="81"/>
      <c r="EL70" s="79"/>
      <c r="EM70" s="79"/>
      <c r="EN70" s="79"/>
      <c r="EO70" s="79"/>
      <c r="EP70" s="79"/>
      <c r="EQ70" s="79"/>
      <c r="ER70" s="79"/>
      <c r="ES70" s="79"/>
      <c r="ET70" s="79"/>
      <c r="EU70" s="79"/>
      <c r="EV70" s="79"/>
      <c r="EW70" s="79"/>
      <c r="EX70" s="79"/>
      <c r="EY70" s="79"/>
      <c r="EZ70" s="79"/>
      <c r="FA70" s="79"/>
      <c r="FB70" s="77"/>
      <c r="FC70" s="81"/>
      <c r="FD70" s="81"/>
      <c r="FE70" s="81"/>
      <c r="FF70" s="79"/>
      <c r="FG70" s="79"/>
      <c r="FH70" s="79"/>
      <c r="FI70" s="79"/>
      <c r="FJ70" s="79"/>
      <c r="FK70" s="79"/>
      <c r="FL70" s="79"/>
      <c r="FM70" s="79"/>
      <c r="FN70" s="79"/>
      <c r="FO70" s="79"/>
      <c r="FP70" s="79"/>
      <c r="FQ70" s="79"/>
      <c r="FR70" s="79"/>
      <c r="FS70" s="79"/>
      <c r="FT70" s="79"/>
      <c r="FU70" s="79"/>
      <c r="FV70" s="77"/>
      <c r="FW70" s="81"/>
      <c r="FX70" s="81"/>
      <c r="FY70" s="81"/>
      <c r="FZ70" s="79"/>
      <c r="GA70" s="79"/>
      <c r="GB70" s="79"/>
      <c r="GC70" s="79"/>
      <c r="GD70" s="79"/>
      <c r="GE70" s="79"/>
      <c r="GF70" s="79"/>
      <c r="GG70" s="79"/>
      <c r="GH70" s="79"/>
      <c r="GI70" s="79"/>
      <c r="GJ70" s="79"/>
      <c r="GK70" s="79"/>
      <c r="GL70" s="79"/>
      <c r="GM70" s="79"/>
      <c r="GN70" s="79"/>
      <c r="GO70" s="79"/>
      <c r="GP70" s="77"/>
      <c r="GQ70" s="81"/>
      <c r="GR70" s="81"/>
      <c r="GS70" s="81"/>
      <c r="GT70" s="79"/>
      <c r="GU70" s="79"/>
      <c r="GV70" s="79"/>
      <c r="GW70" s="79"/>
      <c r="GX70" s="79"/>
      <c r="GY70" s="79"/>
      <c r="GZ70" s="80"/>
      <c r="HA70" s="80"/>
      <c r="HB70" s="80"/>
      <c r="HC70" s="80"/>
      <c r="HD70" s="80"/>
      <c r="HE70" s="80"/>
      <c r="HF70" s="80"/>
      <c r="HG70" s="80"/>
      <c r="HH70" s="80"/>
      <c r="HI70" s="80"/>
      <c r="HJ70" s="77"/>
      <c r="HK70" s="78"/>
      <c r="HL70" s="78"/>
      <c r="HM70" s="78"/>
      <c r="HN70" s="80"/>
      <c r="HO70" s="80"/>
      <c r="HP70" s="80"/>
      <c r="HQ70" s="80"/>
      <c r="HR70" s="80"/>
      <c r="HS70" s="80"/>
      <c r="HT70" s="80"/>
      <c r="HU70" s="80"/>
      <c r="HV70" s="80"/>
      <c r="HW70" s="80"/>
      <c r="HX70" s="80"/>
      <c r="HY70" s="80"/>
      <c r="HZ70" s="80"/>
      <c r="IA70" s="80"/>
      <c r="IB70" s="80"/>
      <c r="IC70" s="80"/>
      <c r="ID70" s="4"/>
      <c r="IF70" s="23"/>
      <c r="IG70" s="28"/>
      <c r="IH70" s="28" t="s">
        <v>97</v>
      </c>
      <c r="II70" s="29" t="str">
        <f t="shared" si="17"/>
        <v/>
      </c>
      <c r="IJ70" s="29" t="str">
        <f t="shared" si="18"/>
        <v>ColorNone</v>
      </c>
      <c r="IK70" s="9">
        <f t="shared" si="19"/>
        <v>0</v>
      </c>
      <c r="IL70" s="23"/>
    </row>
    <row r="71" spans="1:246" ht="2.25" customHeight="1" thickBot="1" x14ac:dyDescent="0.2">
      <c r="A71" s="73"/>
      <c r="B71" s="72"/>
      <c r="C71" s="71"/>
      <c r="D71" s="92"/>
      <c r="E71" s="92"/>
      <c r="F71" s="99"/>
      <c r="G71" s="100"/>
      <c r="H71" s="101"/>
      <c r="I71" s="102"/>
      <c r="J71" s="100"/>
      <c r="K71" s="148"/>
      <c r="L71" s="99"/>
      <c r="M71" s="100"/>
      <c r="N71" s="100"/>
      <c r="O71" s="102"/>
      <c r="P71" s="168"/>
      <c r="Q71" s="22"/>
      <c r="R71" s="56"/>
      <c r="S71" s="58"/>
      <c r="T71" s="58"/>
      <c r="U71" s="58"/>
      <c r="V71" s="64"/>
      <c r="W71" s="60"/>
      <c r="X71" s="60"/>
      <c r="Y71" s="60"/>
      <c r="Z71" s="60"/>
      <c r="AA71" s="60"/>
      <c r="AB71" s="60"/>
      <c r="AC71" s="60"/>
      <c r="AD71" s="60"/>
      <c r="AE71" s="60"/>
      <c r="AF71" s="60"/>
      <c r="AG71" s="62"/>
      <c r="AH71" s="62"/>
      <c r="AI71" s="60"/>
      <c r="AJ71" s="60"/>
      <c r="AK71" s="60"/>
      <c r="AL71" s="56"/>
      <c r="AM71" s="58"/>
      <c r="AN71" s="58"/>
      <c r="AO71" s="58"/>
      <c r="AP71" s="62"/>
      <c r="AQ71" s="62"/>
      <c r="AR71" s="62"/>
      <c r="AS71" s="62"/>
      <c r="AT71" s="62"/>
      <c r="AU71" s="62"/>
      <c r="AV71" s="60"/>
      <c r="AW71" s="60"/>
      <c r="AX71" s="60"/>
      <c r="AY71" s="60"/>
      <c r="AZ71" s="60"/>
      <c r="BA71" s="60"/>
      <c r="BB71" s="60"/>
      <c r="BC71" s="60"/>
      <c r="BD71" s="60"/>
      <c r="BE71" s="60"/>
      <c r="BF71" s="56"/>
      <c r="BG71" s="58"/>
      <c r="BH71" s="58"/>
      <c r="BI71" s="58"/>
      <c r="BJ71" s="62"/>
      <c r="BK71" s="60"/>
      <c r="BL71" s="60"/>
      <c r="BM71" s="60"/>
      <c r="BN71" s="60"/>
      <c r="BO71" s="60"/>
      <c r="BP71" s="60"/>
      <c r="BQ71" s="60"/>
      <c r="BR71" s="60"/>
      <c r="BS71" s="60"/>
      <c r="BT71" s="60"/>
      <c r="BU71" s="60"/>
      <c r="BV71" s="60"/>
      <c r="BW71" s="60"/>
      <c r="BX71" s="60"/>
      <c r="BY71" s="60"/>
      <c r="BZ71" s="56"/>
      <c r="CA71" s="58"/>
      <c r="CB71" s="58"/>
      <c r="CC71" s="64"/>
      <c r="CD71" s="64"/>
      <c r="CE71" s="60"/>
      <c r="CF71" s="60"/>
      <c r="CG71" s="60"/>
      <c r="CH71" s="60"/>
      <c r="CI71" s="60"/>
      <c r="CJ71" s="60"/>
      <c r="CK71" s="60"/>
      <c r="CL71" s="60"/>
      <c r="CM71" s="60"/>
      <c r="CN71" s="60"/>
      <c r="CO71" s="60"/>
      <c r="CP71" s="60"/>
      <c r="CQ71" s="60"/>
      <c r="CR71" s="60"/>
      <c r="CS71" s="60"/>
      <c r="CT71" s="56"/>
      <c r="CU71" s="64"/>
      <c r="CV71" s="64"/>
      <c r="CW71" s="64"/>
      <c r="CX71" s="64"/>
      <c r="CY71" s="60"/>
      <c r="CZ71" s="60"/>
      <c r="DA71" s="60"/>
      <c r="DB71" s="60"/>
      <c r="DC71" s="60"/>
      <c r="DD71" s="60"/>
      <c r="DE71" s="60"/>
      <c r="DF71" s="60"/>
      <c r="DG71" s="60"/>
      <c r="DH71" s="60"/>
      <c r="DI71" s="60"/>
      <c r="DJ71" s="60"/>
      <c r="DK71" s="60"/>
      <c r="DL71" s="60"/>
      <c r="DM71" s="60"/>
      <c r="DN71" s="56"/>
      <c r="DO71" s="58"/>
      <c r="DP71" s="58"/>
      <c r="DQ71" s="64"/>
      <c r="DR71" s="60"/>
      <c r="DS71" s="60"/>
      <c r="DT71" s="60"/>
      <c r="DU71" s="60"/>
      <c r="DV71" s="60"/>
      <c r="DW71" s="60"/>
      <c r="DX71" s="60"/>
      <c r="DY71" s="60"/>
      <c r="DZ71" s="60"/>
      <c r="EA71" s="60"/>
      <c r="EB71" s="60"/>
      <c r="EC71" s="62"/>
      <c r="ED71" s="62"/>
      <c r="EE71" s="60"/>
      <c r="EF71" s="60"/>
      <c r="EG71" s="60"/>
      <c r="EH71" s="56"/>
      <c r="EI71" s="58"/>
      <c r="EJ71" s="58"/>
      <c r="EK71" s="64"/>
      <c r="EL71" s="60"/>
      <c r="EM71" s="60"/>
      <c r="EN71" s="60"/>
      <c r="EO71" s="60"/>
      <c r="EP71" s="60"/>
      <c r="EQ71" s="60"/>
      <c r="ER71" s="60"/>
      <c r="ES71" s="60"/>
      <c r="ET71" s="60"/>
      <c r="EU71" s="60"/>
      <c r="EV71" s="60"/>
      <c r="EW71" s="60"/>
      <c r="EX71" s="60"/>
      <c r="EY71" s="60"/>
      <c r="EZ71" s="60"/>
      <c r="FA71" s="60"/>
      <c r="FB71" s="56"/>
      <c r="FC71" s="64"/>
      <c r="FD71" s="64"/>
      <c r="FE71" s="64"/>
      <c r="FF71" s="60"/>
      <c r="FG71" s="60"/>
      <c r="FH71" s="60"/>
      <c r="FI71" s="60"/>
      <c r="FJ71" s="60"/>
      <c r="FK71" s="60"/>
      <c r="FL71" s="60"/>
      <c r="FM71" s="60"/>
      <c r="FN71" s="60"/>
      <c r="FO71" s="60"/>
      <c r="FP71" s="60"/>
      <c r="FQ71" s="60"/>
      <c r="FR71" s="60"/>
      <c r="FS71" s="60"/>
      <c r="FT71" s="60"/>
      <c r="FU71" s="60"/>
      <c r="FV71" s="56"/>
      <c r="FW71" s="64"/>
      <c r="FX71" s="64"/>
      <c r="FY71" s="64"/>
      <c r="FZ71" s="60"/>
      <c r="GA71" s="60"/>
      <c r="GB71" s="60"/>
      <c r="GC71" s="60"/>
      <c r="GD71" s="60"/>
      <c r="GE71" s="60"/>
      <c r="GF71" s="60"/>
      <c r="GG71" s="60"/>
      <c r="GH71" s="60"/>
      <c r="GI71" s="60"/>
      <c r="GJ71" s="60"/>
      <c r="GK71" s="60"/>
      <c r="GL71" s="60"/>
      <c r="GM71" s="60"/>
      <c r="GN71" s="60"/>
      <c r="GO71" s="60"/>
      <c r="GP71" s="56"/>
      <c r="GQ71" s="64"/>
      <c r="GR71" s="64"/>
      <c r="GS71" s="64"/>
      <c r="GT71" s="60"/>
      <c r="GU71" s="60"/>
      <c r="GV71" s="60"/>
      <c r="GW71" s="60"/>
      <c r="GX71" s="60"/>
      <c r="GY71" s="60"/>
      <c r="GZ71" s="62"/>
      <c r="HA71" s="62"/>
      <c r="HB71" s="62"/>
      <c r="HC71" s="62"/>
      <c r="HD71" s="62"/>
      <c r="HE71" s="62"/>
      <c r="HF71" s="62"/>
      <c r="HG71" s="62"/>
      <c r="HH71" s="62"/>
      <c r="HI71" s="62"/>
      <c r="HJ71" s="56"/>
      <c r="HK71" s="58"/>
      <c r="HL71" s="58"/>
      <c r="HM71" s="58"/>
      <c r="HN71" s="62"/>
      <c r="HO71" s="62"/>
      <c r="HP71" s="62"/>
      <c r="HQ71" s="62"/>
      <c r="HR71" s="62"/>
      <c r="HS71" s="62"/>
      <c r="HT71" s="62"/>
      <c r="HU71" s="62"/>
      <c r="HV71" s="62"/>
      <c r="HW71" s="62"/>
      <c r="HX71" s="62"/>
      <c r="HY71" s="62"/>
      <c r="HZ71" s="62"/>
      <c r="IA71" s="62"/>
      <c r="IB71" s="62"/>
      <c r="IC71" s="62"/>
      <c r="ID71" s="4"/>
      <c r="IF71" s="23"/>
      <c r="IG71" s="28"/>
      <c r="IH71" s="28"/>
      <c r="II71" s="29"/>
      <c r="IJ71" s="121"/>
      <c r="IK71" s="70"/>
      <c r="IL71" s="23"/>
    </row>
    <row r="72" spans="1:246" ht="14.25" thickBot="1" x14ac:dyDescent="0.2">
      <c r="A72" s="222" t="s">
        <v>76</v>
      </c>
      <c r="B72" s="83" t="s">
        <v>26</v>
      </c>
      <c r="C72" s="69" t="str">
        <f>IF(P72=100,"*","")</f>
        <v/>
      </c>
      <c r="D72" s="110" t="s">
        <v>212</v>
      </c>
      <c r="E72" s="111" t="s">
        <v>180</v>
      </c>
      <c r="F72" s="112">
        <v>44886</v>
      </c>
      <c r="G72" s="113">
        <v>1</v>
      </c>
      <c r="H72" s="113">
        <v>30</v>
      </c>
      <c r="I72" s="114">
        <v>200</v>
      </c>
      <c r="J72" s="115"/>
      <c r="K72" s="279" t="s">
        <v>213</v>
      </c>
      <c r="L72" s="164">
        <v>44893</v>
      </c>
      <c r="M72" s="165">
        <v>1</v>
      </c>
      <c r="N72" s="165">
        <v>0</v>
      </c>
      <c r="O72" s="166">
        <v>200</v>
      </c>
      <c r="P72" s="171">
        <v>90</v>
      </c>
      <c r="Q72" s="84"/>
      <c r="R72" s="85"/>
      <c r="S72" s="86"/>
      <c r="T72" s="86"/>
      <c r="U72" s="86"/>
      <c r="V72" s="89"/>
      <c r="W72" s="87"/>
      <c r="X72" s="87"/>
      <c r="Y72" s="87"/>
      <c r="Z72" s="87"/>
      <c r="AA72" s="87"/>
      <c r="AB72" s="87"/>
      <c r="AC72" s="87"/>
      <c r="AD72" s="87"/>
      <c r="AE72" s="87"/>
      <c r="AF72" s="87"/>
      <c r="AG72" s="88"/>
      <c r="AH72" s="88"/>
      <c r="AI72" s="87"/>
      <c r="AJ72" s="87"/>
      <c r="AK72" s="87"/>
      <c r="AL72" s="85"/>
      <c r="AM72" s="86"/>
      <c r="AN72" s="86"/>
      <c r="AO72" s="86"/>
      <c r="AP72" s="88"/>
      <c r="AQ72" s="88"/>
      <c r="AR72" s="88"/>
      <c r="AS72" s="88"/>
      <c r="AT72" s="88"/>
      <c r="AU72" s="88"/>
      <c r="AV72" s="87"/>
      <c r="AW72" s="87"/>
      <c r="AX72" s="87"/>
      <c r="AY72" s="87"/>
      <c r="AZ72" s="87"/>
      <c r="BA72" s="87"/>
      <c r="BB72" s="87"/>
      <c r="BC72" s="87"/>
      <c r="BD72" s="87"/>
      <c r="BE72" s="87"/>
      <c r="BF72" s="85"/>
      <c r="BG72" s="86"/>
      <c r="BH72" s="86"/>
      <c r="BI72" s="86"/>
      <c r="BJ72" s="88"/>
      <c r="BK72" s="87"/>
      <c r="BL72" s="87"/>
      <c r="BM72" s="87"/>
      <c r="BN72" s="87"/>
      <c r="BO72" s="87"/>
      <c r="BP72" s="87"/>
      <c r="BQ72" s="87"/>
      <c r="BR72" s="87"/>
      <c r="BS72" s="87"/>
      <c r="BT72" s="87"/>
      <c r="BU72" s="87"/>
      <c r="BV72" s="87"/>
      <c r="BW72" s="87"/>
      <c r="BX72" s="87"/>
      <c r="BY72" s="87"/>
      <c r="BZ72" s="85"/>
      <c r="CA72" s="86"/>
      <c r="CB72" s="86"/>
      <c r="CC72" s="89"/>
      <c r="CD72" s="89"/>
      <c r="CE72" s="87"/>
      <c r="CF72" s="87"/>
      <c r="CG72" s="87"/>
      <c r="CH72" s="87"/>
      <c r="CI72" s="87"/>
      <c r="CJ72" s="87"/>
      <c r="CK72" s="87"/>
      <c r="CL72" s="87"/>
      <c r="CM72" s="87"/>
      <c r="CN72" s="87"/>
      <c r="CO72" s="87"/>
      <c r="CP72" s="87"/>
      <c r="CQ72" s="87"/>
      <c r="CR72" s="87"/>
      <c r="CS72" s="87"/>
      <c r="CT72" s="85"/>
      <c r="CU72" s="89"/>
      <c r="CV72" s="89"/>
      <c r="CW72" s="89"/>
      <c r="CX72" s="89"/>
      <c r="CY72" s="87"/>
      <c r="CZ72" s="87"/>
      <c r="DA72" s="87"/>
      <c r="DB72" s="87"/>
      <c r="DC72" s="87"/>
      <c r="DD72" s="87"/>
      <c r="DE72" s="87"/>
      <c r="DF72" s="87"/>
      <c r="DG72" s="87"/>
      <c r="DH72" s="87"/>
      <c r="DI72" s="87"/>
      <c r="DJ72" s="87"/>
      <c r="DK72" s="87"/>
      <c r="DL72" s="87"/>
      <c r="DM72" s="87"/>
      <c r="DN72" s="85"/>
      <c r="DO72" s="86"/>
      <c r="DP72" s="86"/>
      <c r="DQ72" s="89"/>
      <c r="DR72" s="87"/>
      <c r="DS72" s="87"/>
      <c r="DT72" s="87"/>
      <c r="DU72" s="87"/>
      <c r="DV72" s="87"/>
      <c r="DW72" s="87"/>
      <c r="DX72" s="87"/>
      <c r="DY72" s="87"/>
      <c r="DZ72" s="87"/>
      <c r="EA72" s="87"/>
      <c r="EB72" s="87"/>
      <c r="EC72" s="88"/>
      <c r="ED72" s="88"/>
      <c r="EE72" s="87"/>
      <c r="EF72" s="87"/>
      <c r="EG72" s="87"/>
      <c r="EH72" s="85"/>
      <c r="EI72" s="86"/>
      <c r="EJ72" s="86"/>
      <c r="EK72" s="89"/>
      <c r="EL72" s="87"/>
      <c r="EM72" s="87"/>
      <c r="EN72" s="87"/>
      <c r="EO72" s="87"/>
      <c r="EP72" s="87"/>
      <c r="EQ72" s="87"/>
      <c r="ER72" s="87"/>
      <c r="ES72" s="87"/>
      <c r="ET72" s="87"/>
      <c r="EU72" s="87"/>
      <c r="EV72" s="87"/>
      <c r="EW72" s="87"/>
      <c r="EX72" s="87"/>
      <c r="EY72" s="87"/>
      <c r="EZ72" s="87"/>
      <c r="FA72" s="87"/>
      <c r="FB72" s="85"/>
      <c r="FC72" s="89"/>
      <c r="FD72" s="89"/>
      <c r="FE72" s="89"/>
      <c r="FF72" s="87"/>
      <c r="FG72" s="87"/>
      <c r="FH72" s="87"/>
      <c r="FI72" s="87"/>
      <c r="FJ72" s="87"/>
      <c r="FK72" s="87"/>
      <c r="FL72" s="87"/>
      <c r="FM72" s="87"/>
      <c r="FN72" s="87"/>
      <c r="FO72" s="87"/>
      <c r="FP72" s="87"/>
      <c r="FQ72" s="87"/>
      <c r="FR72" s="87"/>
      <c r="FS72" s="87"/>
      <c r="FT72" s="87"/>
      <c r="FU72" s="87"/>
      <c r="FV72" s="85"/>
      <c r="FW72" s="89"/>
      <c r="FX72" s="89"/>
      <c r="FY72" s="89"/>
      <c r="FZ72" s="87"/>
      <c r="GA72" s="87"/>
      <c r="GB72" s="87"/>
      <c r="GC72" s="87"/>
      <c r="GD72" s="87"/>
      <c r="GE72" s="87"/>
      <c r="GF72" s="87"/>
      <c r="GG72" s="87"/>
      <c r="GH72" s="87"/>
      <c r="GI72" s="87"/>
      <c r="GJ72" s="87"/>
      <c r="GK72" s="87"/>
      <c r="GL72" s="87"/>
      <c r="GM72" s="87"/>
      <c r="GN72" s="87"/>
      <c r="GO72" s="87"/>
      <c r="GP72" s="85"/>
      <c r="GQ72" s="89"/>
      <c r="GR72" s="89"/>
      <c r="GS72" s="89"/>
      <c r="GT72" s="87"/>
      <c r="GU72" s="87"/>
      <c r="GV72" s="87"/>
      <c r="GW72" s="87"/>
      <c r="GX72" s="87"/>
      <c r="GY72" s="87"/>
      <c r="GZ72" s="88"/>
      <c r="HA72" s="88"/>
      <c r="HB72" s="88"/>
      <c r="HC72" s="88"/>
      <c r="HD72" s="88"/>
      <c r="HE72" s="88"/>
      <c r="HF72" s="88"/>
      <c r="HG72" s="88"/>
      <c r="HH72" s="88"/>
      <c r="HI72" s="88"/>
      <c r="HJ72" s="85"/>
      <c r="HK72" s="86"/>
      <c r="HL72" s="86"/>
      <c r="HM72" s="86"/>
      <c r="HN72" s="88"/>
      <c r="HO72" s="88"/>
      <c r="HP72" s="88"/>
      <c r="HQ72" s="88"/>
      <c r="HR72" s="88"/>
      <c r="HS72" s="88"/>
      <c r="HT72" s="88"/>
      <c r="HU72" s="88"/>
      <c r="HV72" s="88"/>
      <c r="HW72" s="88"/>
      <c r="HX72" s="88"/>
      <c r="HY72" s="88"/>
      <c r="HZ72" s="88"/>
      <c r="IA72" s="88"/>
      <c r="IB72" s="88"/>
      <c r="IC72" s="88"/>
      <c r="ID72" s="4"/>
      <c r="IF72" s="23"/>
      <c r="IG72" s="28"/>
      <c r="IH72" s="28" t="s">
        <v>98</v>
      </c>
      <c r="II72" s="29">
        <f t="shared" ref="II72:II81" si="20">IF(E72&lt;&gt;"",VLOOKUP(E72,$IM$12:$IN$20,2,FALSE),"")</f>
        <v>1</v>
      </c>
      <c r="IJ72" s="29" t="str">
        <f t="shared" ref="IJ72:IJ81" si="21">IF(II72&lt;&gt;"","Color"&amp;II72, "ColorNone")</f>
        <v>Color1</v>
      </c>
      <c r="IK72" s="5">
        <f t="shared" ref="IK72:IK81" si="22">IF(O72="",I72,O72)</f>
        <v>200</v>
      </c>
      <c r="IL72" s="23"/>
    </row>
    <row r="73" spans="1:246" ht="14.25" thickBot="1" x14ac:dyDescent="0.2">
      <c r="A73" s="223"/>
      <c r="B73" s="6" t="s">
        <v>27</v>
      </c>
      <c r="C73" s="7" t="str">
        <f t="shared" si="5"/>
        <v/>
      </c>
      <c r="D73" s="110" t="s">
        <v>212</v>
      </c>
      <c r="E73" s="103" t="s">
        <v>186</v>
      </c>
      <c r="F73" s="93">
        <v>44886</v>
      </c>
      <c r="G73" s="113">
        <v>1</v>
      </c>
      <c r="H73" s="94">
        <v>30</v>
      </c>
      <c r="I73" s="114">
        <v>200</v>
      </c>
      <c r="J73" s="96"/>
      <c r="K73" s="175" t="s">
        <v>213</v>
      </c>
      <c r="L73" s="164">
        <v>44894</v>
      </c>
      <c r="M73" s="165">
        <v>1</v>
      </c>
      <c r="N73" s="165">
        <v>0</v>
      </c>
      <c r="O73" s="160">
        <v>200</v>
      </c>
      <c r="P73" s="171">
        <v>90</v>
      </c>
      <c r="Q73" s="21"/>
      <c r="R73" s="56"/>
      <c r="S73" s="58"/>
      <c r="T73" s="58"/>
      <c r="U73" s="58"/>
      <c r="V73" s="64"/>
      <c r="W73" s="60"/>
      <c r="X73" s="60"/>
      <c r="Y73" s="60"/>
      <c r="Z73" s="60"/>
      <c r="AA73" s="60"/>
      <c r="AB73" s="60"/>
      <c r="AC73" s="60"/>
      <c r="AD73" s="60"/>
      <c r="AE73" s="60"/>
      <c r="AF73" s="60"/>
      <c r="AG73" s="62"/>
      <c r="AH73" s="62"/>
      <c r="AI73" s="60"/>
      <c r="AJ73" s="60"/>
      <c r="AK73" s="60"/>
      <c r="AL73" s="56"/>
      <c r="AM73" s="58"/>
      <c r="AN73" s="58"/>
      <c r="AO73" s="58"/>
      <c r="AP73" s="62"/>
      <c r="AQ73" s="62"/>
      <c r="AR73" s="62"/>
      <c r="AS73" s="62"/>
      <c r="AT73" s="62"/>
      <c r="AU73" s="62"/>
      <c r="AV73" s="60"/>
      <c r="AW73" s="60"/>
      <c r="AX73" s="60"/>
      <c r="AY73" s="60"/>
      <c r="AZ73" s="60"/>
      <c r="BA73" s="60"/>
      <c r="BB73" s="60"/>
      <c r="BC73" s="60"/>
      <c r="BD73" s="60"/>
      <c r="BE73" s="60"/>
      <c r="BF73" s="56"/>
      <c r="BG73" s="58"/>
      <c r="BH73" s="58"/>
      <c r="BI73" s="58"/>
      <c r="BJ73" s="62"/>
      <c r="BK73" s="60"/>
      <c r="BL73" s="60"/>
      <c r="BM73" s="60"/>
      <c r="BN73" s="60"/>
      <c r="BO73" s="60"/>
      <c r="BP73" s="60"/>
      <c r="BQ73" s="60"/>
      <c r="BR73" s="60"/>
      <c r="BS73" s="60"/>
      <c r="BT73" s="60"/>
      <c r="BU73" s="60"/>
      <c r="BV73" s="60"/>
      <c r="BW73" s="60"/>
      <c r="BX73" s="60"/>
      <c r="BY73" s="60"/>
      <c r="BZ73" s="56"/>
      <c r="CA73" s="58"/>
      <c r="CB73" s="58"/>
      <c r="CC73" s="64"/>
      <c r="CD73" s="64"/>
      <c r="CE73" s="60"/>
      <c r="CF73" s="60"/>
      <c r="CG73" s="60"/>
      <c r="CH73" s="60"/>
      <c r="CI73" s="60"/>
      <c r="CJ73" s="60"/>
      <c r="CK73" s="60"/>
      <c r="CL73" s="60"/>
      <c r="CM73" s="60"/>
      <c r="CN73" s="60"/>
      <c r="CO73" s="60"/>
      <c r="CP73" s="60"/>
      <c r="CQ73" s="60"/>
      <c r="CR73" s="60"/>
      <c r="CS73" s="60"/>
      <c r="CT73" s="56"/>
      <c r="CU73" s="64"/>
      <c r="CV73" s="64"/>
      <c r="CW73" s="64"/>
      <c r="CX73" s="64"/>
      <c r="CY73" s="60"/>
      <c r="CZ73" s="60"/>
      <c r="DA73" s="60"/>
      <c r="DB73" s="60"/>
      <c r="DC73" s="60"/>
      <c r="DD73" s="60"/>
      <c r="DE73" s="60"/>
      <c r="DF73" s="60"/>
      <c r="DG73" s="60"/>
      <c r="DH73" s="60"/>
      <c r="DI73" s="60"/>
      <c r="DJ73" s="60"/>
      <c r="DK73" s="60"/>
      <c r="DL73" s="60"/>
      <c r="DM73" s="60"/>
      <c r="DN73" s="56"/>
      <c r="DO73" s="58"/>
      <c r="DP73" s="58"/>
      <c r="DQ73" s="64"/>
      <c r="DR73" s="60"/>
      <c r="DS73" s="60"/>
      <c r="DT73" s="60"/>
      <c r="DU73" s="60"/>
      <c r="DV73" s="60"/>
      <c r="DW73" s="60"/>
      <c r="DX73" s="60"/>
      <c r="DY73" s="60"/>
      <c r="DZ73" s="60"/>
      <c r="EA73" s="60"/>
      <c r="EB73" s="60"/>
      <c r="EC73" s="62"/>
      <c r="ED73" s="62"/>
      <c r="EE73" s="60"/>
      <c r="EF73" s="60"/>
      <c r="EG73" s="60"/>
      <c r="EH73" s="56"/>
      <c r="EI73" s="58"/>
      <c r="EJ73" s="58"/>
      <c r="EK73" s="64"/>
      <c r="EL73" s="60"/>
      <c r="EM73" s="60"/>
      <c r="EN73" s="60"/>
      <c r="EO73" s="60"/>
      <c r="EP73" s="60"/>
      <c r="EQ73" s="60"/>
      <c r="ER73" s="60"/>
      <c r="ES73" s="60"/>
      <c r="ET73" s="60"/>
      <c r="EU73" s="60"/>
      <c r="EV73" s="60"/>
      <c r="EW73" s="60"/>
      <c r="EX73" s="60"/>
      <c r="EY73" s="60"/>
      <c r="EZ73" s="60"/>
      <c r="FA73" s="60"/>
      <c r="FB73" s="56"/>
      <c r="FC73" s="64"/>
      <c r="FD73" s="64"/>
      <c r="FE73" s="64"/>
      <c r="FF73" s="60"/>
      <c r="FG73" s="60"/>
      <c r="FH73" s="60"/>
      <c r="FI73" s="60"/>
      <c r="FJ73" s="60"/>
      <c r="FK73" s="60"/>
      <c r="FL73" s="60"/>
      <c r="FM73" s="60"/>
      <c r="FN73" s="60"/>
      <c r="FO73" s="60"/>
      <c r="FP73" s="60"/>
      <c r="FQ73" s="60"/>
      <c r="FR73" s="60"/>
      <c r="FS73" s="60"/>
      <c r="FT73" s="60"/>
      <c r="FU73" s="60"/>
      <c r="FV73" s="56"/>
      <c r="FW73" s="64"/>
      <c r="FX73" s="64"/>
      <c r="FY73" s="64"/>
      <c r="FZ73" s="60"/>
      <c r="GA73" s="60"/>
      <c r="GB73" s="60"/>
      <c r="GC73" s="60"/>
      <c r="GD73" s="60"/>
      <c r="GE73" s="60"/>
      <c r="GF73" s="60"/>
      <c r="GG73" s="60"/>
      <c r="GH73" s="60"/>
      <c r="GI73" s="60"/>
      <c r="GJ73" s="60"/>
      <c r="GK73" s="60"/>
      <c r="GL73" s="60"/>
      <c r="GM73" s="60"/>
      <c r="GN73" s="60"/>
      <c r="GO73" s="60"/>
      <c r="GP73" s="56"/>
      <c r="GQ73" s="64"/>
      <c r="GR73" s="64"/>
      <c r="GS73" s="64"/>
      <c r="GT73" s="60"/>
      <c r="GU73" s="60"/>
      <c r="GV73" s="60"/>
      <c r="GW73" s="60"/>
      <c r="GX73" s="60"/>
      <c r="GY73" s="60"/>
      <c r="GZ73" s="62"/>
      <c r="HA73" s="62"/>
      <c r="HB73" s="62"/>
      <c r="HC73" s="62"/>
      <c r="HD73" s="62"/>
      <c r="HE73" s="62"/>
      <c r="HF73" s="62"/>
      <c r="HG73" s="62"/>
      <c r="HH73" s="62"/>
      <c r="HI73" s="62"/>
      <c r="HJ73" s="56"/>
      <c r="HK73" s="58"/>
      <c r="HL73" s="58"/>
      <c r="HM73" s="58"/>
      <c r="HN73" s="62"/>
      <c r="HO73" s="62"/>
      <c r="HP73" s="62"/>
      <c r="HQ73" s="62"/>
      <c r="HR73" s="62"/>
      <c r="HS73" s="62"/>
      <c r="HT73" s="62"/>
      <c r="HU73" s="62"/>
      <c r="HV73" s="62"/>
      <c r="HW73" s="62"/>
      <c r="HX73" s="62"/>
      <c r="HY73" s="62"/>
      <c r="HZ73" s="62"/>
      <c r="IA73" s="62"/>
      <c r="IB73" s="62"/>
      <c r="IC73" s="62"/>
      <c r="ID73" s="4"/>
      <c r="IF73" s="23"/>
      <c r="IG73" s="28"/>
      <c r="IH73" s="28" t="s">
        <v>98</v>
      </c>
      <c r="II73" s="29">
        <f t="shared" si="20"/>
        <v>3</v>
      </c>
      <c r="IJ73" s="29" t="str">
        <f t="shared" si="21"/>
        <v>Color3</v>
      </c>
      <c r="IK73" s="8">
        <f t="shared" si="22"/>
        <v>200</v>
      </c>
      <c r="IL73" s="23"/>
    </row>
    <row r="74" spans="1:246" ht="14.25" thickBot="1" x14ac:dyDescent="0.2">
      <c r="A74" s="223"/>
      <c r="B74" s="6" t="s">
        <v>28</v>
      </c>
      <c r="C74" s="7" t="str">
        <f t="shared" si="5"/>
        <v/>
      </c>
      <c r="D74" s="110" t="s">
        <v>212</v>
      </c>
      <c r="E74" s="103" t="s">
        <v>188</v>
      </c>
      <c r="F74" s="93">
        <v>44886</v>
      </c>
      <c r="G74" s="113">
        <v>1</v>
      </c>
      <c r="H74" s="94">
        <v>30</v>
      </c>
      <c r="I74" s="114">
        <v>200</v>
      </c>
      <c r="J74" s="96"/>
      <c r="K74" s="175" t="s">
        <v>213</v>
      </c>
      <c r="L74" s="164">
        <v>44895</v>
      </c>
      <c r="M74" s="165">
        <v>1</v>
      </c>
      <c r="N74" s="165">
        <v>0</v>
      </c>
      <c r="O74" s="160">
        <v>200</v>
      </c>
      <c r="P74" s="171">
        <v>90</v>
      </c>
      <c r="Q74" s="21"/>
      <c r="R74" s="56"/>
      <c r="S74" s="58"/>
      <c r="T74" s="58"/>
      <c r="U74" s="58"/>
      <c r="V74" s="64"/>
      <c r="W74" s="60"/>
      <c r="X74" s="60"/>
      <c r="Y74" s="60"/>
      <c r="Z74" s="60"/>
      <c r="AA74" s="60"/>
      <c r="AB74" s="60"/>
      <c r="AC74" s="60"/>
      <c r="AD74" s="60"/>
      <c r="AE74" s="60"/>
      <c r="AF74" s="60"/>
      <c r="AG74" s="62"/>
      <c r="AH74" s="62"/>
      <c r="AI74" s="60"/>
      <c r="AJ74" s="60"/>
      <c r="AK74" s="60"/>
      <c r="AL74" s="56"/>
      <c r="AM74" s="58"/>
      <c r="AN74" s="58"/>
      <c r="AO74" s="58"/>
      <c r="AP74" s="62"/>
      <c r="AQ74" s="62"/>
      <c r="AR74" s="62"/>
      <c r="AS74" s="62"/>
      <c r="AT74" s="62"/>
      <c r="AU74" s="62"/>
      <c r="AV74" s="60"/>
      <c r="AW74" s="60"/>
      <c r="AX74" s="60"/>
      <c r="AY74" s="60"/>
      <c r="AZ74" s="60"/>
      <c r="BA74" s="60"/>
      <c r="BB74" s="60"/>
      <c r="BC74" s="60"/>
      <c r="BD74" s="60"/>
      <c r="BE74" s="60"/>
      <c r="BF74" s="56"/>
      <c r="BG74" s="58"/>
      <c r="BH74" s="58"/>
      <c r="BI74" s="58"/>
      <c r="BJ74" s="62"/>
      <c r="BK74" s="60"/>
      <c r="BL74" s="60"/>
      <c r="BM74" s="60"/>
      <c r="BN74" s="60"/>
      <c r="BO74" s="60"/>
      <c r="BP74" s="60"/>
      <c r="BQ74" s="60"/>
      <c r="BR74" s="60"/>
      <c r="BS74" s="60"/>
      <c r="BT74" s="60"/>
      <c r="BU74" s="60"/>
      <c r="BV74" s="60"/>
      <c r="BW74" s="60"/>
      <c r="BX74" s="60"/>
      <c r="BY74" s="60"/>
      <c r="BZ74" s="56"/>
      <c r="CA74" s="58"/>
      <c r="CB74" s="58"/>
      <c r="CC74" s="64"/>
      <c r="CD74" s="64"/>
      <c r="CE74" s="60"/>
      <c r="CF74" s="60"/>
      <c r="CG74" s="60"/>
      <c r="CH74" s="60"/>
      <c r="CI74" s="60"/>
      <c r="CJ74" s="60"/>
      <c r="CK74" s="60"/>
      <c r="CL74" s="60"/>
      <c r="CM74" s="60"/>
      <c r="CN74" s="60"/>
      <c r="CO74" s="60"/>
      <c r="CP74" s="60"/>
      <c r="CQ74" s="60"/>
      <c r="CR74" s="60"/>
      <c r="CS74" s="60"/>
      <c r="CT74" s="56"/>
      <c r="CU74" s="64"/>
      <c r="CV74" s="64"/>
      <c r="CW74" s="64"/>
      <c r="CX74" s="64"/>
      <c r="CY74" s="60"/>
      <c r="CZ74" s="60"/>
      <c r="DA74" s="60"/>
      <c r="DB74" s="60"/>
      <c r="DC74" s="60"/>
      <c r="DD74" s="60"/>
      <c r="DE74" s="60"/>
      <c r="DF74" s="60"/>
      <c r="DG74" s="60"/>
      <c r="DH74" s="60"/>
      <c r="DI74" s="60"/>
      <c r="DJ74" s="60"/>
      <c r="DK74" s="60"/>
      <c r="DL74" s="60"/>
      <c r="DM74" s="60"/>
      <c r="DN74" s="56"/>
      <c r="DO74" s="58"/>
      <c r="DP74" s="58"/>
      <c r="DQ74" s="64"/>
      <c r="DR74" s="60"/>
      <c r="DS74" s="60"/>
      <c r="DT74" s="60"/>
      <c r="DU74" s="60"/>
      <c r="DV74" s="60"/>
      <c r="DW74" s="60"/>
      <c r="DX74" s="60"/>
      <c r="DY74" s="60"/>
      <c r="DZ74" s="60"/>
      <c r="EA74" s="60"/>
      <c r="EB74" s="60"/>
      <c r="EC74" s="62"/>
      <c r="ED74" s="62"/>
      <c r="EE74" s="60"/>
      <c r="EF74" s="60"/>
      <c r="EG74" s="60"/>
      <c r="EH74" s="56"/>
      <c r="EI74" s="58"/>
      <c r="EJ74" s="58"/>
      <c r="EK74" s="64"/>
      <c r="EL74" s="60"/>
      <c r="EM74" s="60"/>
      <c r="EN74" s="60"/>
      <c r="EO74" s="60"/>
      <c r="EP74" s="60"/>
      <c r="EQ74" s="60"/>
      <c r="ER74" s="60"/>
      <c r="ES74" s="60"/>
      <c r="ET74" s="60"/>
      <c r="EU74" s="60"/>
      <c r="EV74" s="60"/>
      <c r="EW74" s="60"/>
      <c r="EX74" s="60"/>
      <c r="EY74" s="60"/>
      <c r="EZ74" s="60"/>
      <c r="FA74" s="60"/>
      <c r="FB74" s="56"/>
      <c r="FC74" s="64"/>
      <c r="FD74" s="64"/>
      <c r="FE74" s="64"/>
      <c r="FF74" s="60"/>
      <c r="FG74" s="60"/>
      <c r="FH74" s="60"/>
      <c r="FI74" s="60"/>
      <c r="FJ74" s="60"/>
      <c r="FK74" s="60"/>
      <c r="FL74" s="60"/>
      <c r="FM74" s="60"/>
      <c r="FN74" s="60"/>
      <c r="FO74" s="60"/>
      <c r="FP74" s="60"/>
      <c r="FQ74" s="60"/>
      <c r="FR74" s="60"/>
      <c r="FS74" s="60"/>
      <c r="FT74" s="60"/>
      <c r="FU74" s="60"/>
      <c r="FV74" s="56"/>
      <c r="FW74" s="64"/>
      <c r="FX74" s="64"/>
      <c r="FY74" s="64"/>
      <c r="FZ74" s="60"/>
      <c r="GA74" s="60"/>
      <c r="GB74" s="60"/>
      <c r="GC74" s="60"/>
      <c r="GD74" s="60"/>
      <c r="GE74" s="60"/>
      <c r="GF74" s="60"/>
      <c r="GG74" s="60"/>
      <c r="GH74" s="60"/>
      <c r="GI74" s="60"/>
      <c r="GJ74" s="60"/>
      <c r="GK74" s="60"/>
      <c r="GL74" s="60"/>
      <c r="GM74" s="60"/>
      <c r="GN74" s="60"/>
      <c r="GO74" s="60"/>
      <c r="GP74" s="56"/>
      <c r="GQ74" s="64"/>
      <c r="GR74" s="64"/>
      <c r="GS74" s="64"/>
      <c r="GT74" s="60"/>
      <c r="GU74" s="60"/>
      <c r="GV74" s="60"/>
      <c r="GW74" s="60"/>
      <c r="GX74" s="60"/>
      <c r="GY74" s="60"/>
      <c r="GZ74" s="62"/>
      <c r="HA74" s="62"/>
      <c r="HB74" s="62"/>
      <c r="HC74" s="62"/>
      <c r="HD74" s="62"/>
      <c r="HE74" s="62"/>
      <c r="HF74" s="62"/>
      <c r="HG74" s="62"/>
      <c r="HH74" s="62"/>
      <c r="HI74" s="62"/>
      <c r="HJ74" s="56"/>
      <c r="HK74" s="58"/>
      <c r="HL74" s="58"/>
      <c r="HM74" s="58"/>
      <c r="HN74" s="62"/>
      <c r="HO74" s="62"/>
      <c r="HP74" s="62"/>
      <c r="HQ74" s="62"/>
      <c r="HR74" s="62"/>
      <c r="HS74" s="62"/>
      <c r="HT74" s="62"/>
      <c r="HU74" s="62"/>
      <c r="HV74" s="62"/>
      <c r="HW74" s="62"/>
      <c r="HX74" s="62"/>
      <c r="HY74" s="62"/>
      <c r="HZ74" s="62"/>
      <c r="IA74" s="62"/>
      <c r="IB74" s="62"/>
      <c r="IC74" s="62"/>
      <c r="ID74" s="4"/>
      <c r="IF74" s="23"/>
      <c r="IG74" s="28"/>
      <c r="IH74" s="28" t="s">
        <v>98</v>
      </c>
      <c r="II74" s="29">
        <f t="shared" si="20"/>
        <v>4</v>
      </c>
      <c r="IJ74" s="29" t="str">
        <f t="shared" si="21"/>
        <v>Color4</v>
      </c>
      <c r="IK74" s="8">
        <f t="shared" si="22"/>
        <v>200</v>
      </c>
      <c r="IL74" s="23"/>
    </row>
    <row r="75" spans="1:246" ht="14.25" thickBot="1" x14ac:dyDescent="0.2">
      <c r="A75" s="223"/>
      <c r="B75" s="6" t="s">
        <v>29</v>
      </c>
      <c r="C75" s="7" t="str">
        <f t="shared" si="5"/>
        <v/>
      </c>
      <c r="D75" s="91"/>
      <c r="E75" s="103"/>
      <c r="F75" s="97"/>
      <c r="G75" s="117"/>
      <c r="H75" s="98"/>
      <c r="I75" s="95"/>
      <c r="J75" s="96"/>
      <c r="K75" s="147" t="s">
        <v>105</v>
      </c>
      <c r="L75" s="158"/>
      <c r="M75" s="165"/>
      <c r="N75" s="159"/>
      <c r="O75" s="160"/>
      <c r="P75" s="169"/>
      <c r="Q75" s="21"/>
      <c r="R75" s="56"/>
      <c r="S75" s="58"/>
      <c r="T75" s="58"/>
      <c r="U75" s="58"/>
      <c r="V75" s="64"/>
      <c r="W75" s="60"/>
      <c r="X75" s="60"/>
      <c r="Y75" s="60"/>
      <c r="Z75" s="60"/>
      <c r="AA75" s="60"/>
      <c r="AB75" s="60"/>
      <c r="AC75" s="60"/>
      <c r="AD75" s="60"/>
      <c r="AE75" s="60"/>
      <c r="AF75" s="60"/>
      <c r="AG75" s="62"/>
      <c r="AH75" s="62"/>
      <c r="AI75" s="60"/>
      <c r="AJ75" s="60"/>
      <c r="AK75" s="60"/>
      <c r="AL75" s="56"/>
      <c r="AM75" s="58"/>
      <c r="AN75" s="58"/>
      <c r="AO75" s="58"/>
      <c r="AP75" s="62"/>
      <c r="AQ75" s="62"/>
      <c r="AR75" s="62"/>
      <c r="AS75" s="62"/>
      <c r="AT75" s="62"/>
      <c r="AU75" s="62"/>
      <c r="AV75" s="60"/>
      <c r="AW75" s="60"/>
      <c r="AX75" s="60"/>
      <c r="AY75" s="60"/>
      <c r="AZ75" s="60"/>
      <c r="BA75" s="60"/>
      <c r="BB75" s="60"/>
      <c r="BC75" s="60"/>
      <c r="BD75" s="60"/>
      <c r="BE75" s="60"/>
      <c r="BF75" s="56"/>
      <c r="BG75" s="58"/>
      <c r="BH75" s="58"/>
      <c r="BI75" s="58"/>
      <c r="BJ75" s="62"/>
      <c r="BK75" s="60"/>
      <c r="BL75" s="60"/>
      <c r="BM75" s="60"/>
      <c r="BN75" s="60"/>
      <c r="BO75" s="60"/>
      <c r="BP75" s="60"/>
      <c r="BQ75" s="60"/>
      <c r="BR75" s="60"/>
      <c r="BS75" s="60"/>
      <c r="BT75" s="60"/>
      <c r="BU75" s="60"/>
      <c r="BV75" s="60"/>
      <c r="BW75" s="60"/>
      <c r="BX75" s="60"/>
      <c r="BY75" s="60"/>
      <c r="BZ75" s="56"/>
      <c r="CA75" s="58"/>
      <c r="CB75" s="58"/>
      <c r="CC75" s="64"/>
      <c r="CD75" s="64"/>
      <c r="CE75" s="60"/>
      <c r="CF75" s="60"/>
      <c r="CG75" s="60"/>
      <c r="CH75" s="60"/>
      <c r="CI75" s="60"/>
      <c r="CJ75" s="60"/>
      <c r="CK75" s="60"/>
      <c r="CL75" s="60"/>
      <c r="CM75" s="60"/>
      <c r="CN75" s="60"/>
      <c r="CO75" s="60"/>
      <c r="CP75" s="60"/>
      <c r="CQ75" s="60"/>
      <c r="CR75" s="60"/>
      <c r="CS75" s="60"/>
      <c r="CT75" s="56"/>
      <c r="CU75" s="64"/>
      <c r="CV75" s="64"/>
      <c r="CW75" s="64"/>
      <c r="CX75" s="64"/>
      <c r="CY75" s="60"/>
      <c r="CZ75" s="60"/>
      <c r="DA75" s="60"/>
      <c r="DB75" s="60"/>
      <c r="DC75" s="60"/>
      <c r="DD75" s="60"/>
      <c r="DE75" s="60"/>
      <c r="DF75" s="60"/>
      <c r="DG75" s="60"/>
      <c r="DH75" s="60"/>
      <c r="DI75" s="60"/>
      <c r="DJ75" s="60"/>
      <c r="DK75" s="60"/>
      <c r="DL75" s="60"/>
      <c r="DM75" s="60"/>
      <c r="DN75" s="56"/>
      <c r="DO75" s="58"/>
      <c r="DP75" s="58"/>
      <c r="DQ75" s="64"/>
      <c r="DR75" s="60"/>
      <c r="DS75" s="60"/>
      <c r="DT75" s="60"/>
      <c r="DU75" s="60"/>
      <c r="DV75" s="60"/>
      <c r="DW75" s="60"/>
      <c r="DX75" s="60"/>
      <c r="DY75" s="60"/>
      <c r="DZ75" s="60"/>
      <c r="EA75" s="60"/>
      <c r="EB75" s="60"/>
      <c r="EC75" s="62"/>
      <c r="ED75" s="62"/>
      <c r="EE75" s="60"/>
      <c r="EF75" s="60"/>
      <c r="EG75" s="60"/>
      <c r="EH75" s="56"/>
      <c r="EI75" s="58"/>
      <c r="EJ75" s="58"/>
      <c r="EK75" s="64"/>
      <c r="EL75" s="60"/>
      <c r="EM75" s="60"/>
      <c r="EN75" s="60"/>
      <c r="EO75" s="60"/>
      <c r="EP75" s="60"/>
      <c r="EQ75" s="60"/>
      <c r="ER75" s="60"/>
      <c r="ES75" s="60"/>
      <c r="ET75" s="60"/>
      <c r="EU75" s="60"/>
      <c r="EV75" s="60"/>
      <c r="EW75" s="60"/>
      <c r="EX75" s="60"/>
      <c r="EY75" s="60"/>
      <c r="EZ75" s="60"/>
      <c r="FA75" s="60"/>
      <c r="FB75" s="56"/>
      <c r="FC75" s="64"/>
      <c r="FD75" s="64"/>
      <c r="FE75" s="64"/>
      <c r="FF75" s="60"/>
      <c r="FG75" s="60"/>
      <c r="FH75" s="60"/>
      <c r="FI75" s="60"/>
      <c r="FJ75" s="60"/>
      <c r="FK75" s="60"/>
      <c r="FL75" s="60"/>
      <c r="FM75" s="60"/>
      <c r="FN75" s="60"/>
      <c r="FO75" s="60"/>
      <c r="FP75" s="60"/>
      <c r="FQ75" s="60"/>
      <c r="FR75" s="60"/>
      <c r="FS75" s="60"/>
      <c r="FT75" s="60"/>
      <c r="FU75" s="60"/>
      <c r="FV75" s="56"/>
      <c r="FW75" s="64"/>
      <c r="FX75" s="64"/>
      <c r="FY75" s="64"/>
      <c r="FZ75" s="60"/>
      <c r="GA75" s="60"/>
      <c r="GB75" s="60"/>
      <c r="GC75" s="60"/>
      <c r="GD75" s="60"/>
      <c r="GE75" s="60"/>
      <c r="GF75" s="60"/>
      <c r="GG75" s="60"/>
      <c r="GH75" s="60"/>
      <c r="GI75" s="60"/>
      <c r="GJ75" s="60"/>
      <c r="GK75" s="60"/>
      <c r="GL75" s="60"/>
      <c r="GM75" s="60"/>
      <c r="GN75" s="60"/>
      <c r="GO75" s="60"/>
      <c r="GP75" s="56"/>
      <c r="GQ75" s="64"/>
      <c r="GR75" s="64"/>
      <c r="GS75" s="64"/>
      <c r="GT75" s="60"/>
      <c r="GU75" s="60"/>
      <c r="GV75" s="60"/>
      <c r="GW75" s="60"/>
      <c r="GX75" s="60"/>
      <c r="GY75" s="60"/>
      <c r="GZ75" s="62"/>
      <c r="HA75" s="62"/>
      <c r="HB75" s="62"/>
      <c r="HC75" s="62"/>
      <c r="HD75" s="62"/>
      <c r="HE75" s="62"/>
      <c r="HF75" s="62"/>
      <c r="HG75" s="62"/>
      <c r="HH75" s="62"/>
      <c r="HI75" s="62"/>
      <c r="HJ75" s="56"/>
      <c r="HK75" s="58"/>
      <c r="HL75" s="58"/>
      <c r="HM75" s="58"/>
      <c r="HN75" s="62"/>
      <c r="HO75" s="62"/>
      <c r="HP75" s="62"/>
      <c r="HQ75" s="62"/>
      <c r="HR75" s="62"/>
      <c r="HS75" s="62"/>
      <c r="HT75" s="62"/>
      <c r="HU75" s="62"/>
      <c r="HV75" s="62"/>
      <c r="HW75" s="62"/>
      <c r="HX75" s="62"/>
      <c r="HY75" s="62"/>
      <c r="HZ75" s="62"/>
      <c r="IA75" s="62"/>
      <c r="IB75" s="62"/>
      <c r="IC75" s="62"/>
      <c r="ID75" s="4"/>
      <c r="IF75" s="23"/>
      <c r="IG75" s="28"/>
      <c r="IH75" s="28" t="s">
        <v>98</v>
      </c>
      <c r="II75" s="29" t="str">
        <f t="shared" si="20"/>
        <v/>
      </c>
      <c r="IJ75" s="29" t="str">
        <f t="shared" si="21"/>
        <v>ColorNone</v>
      </c>
      <c r="IK75" s="8">
        <f t="shared" si="22"/>
        <v>0</v>
      </c>
      <c r="IL75" s="23"/>
    </row>
    <row r="76" spans="1:246" ht="14.25" thickBot="1" x14ac:dyDescent="0.2">
      <c r="A76" s="223"/>
      <c r="B76" s="6" t="s">
        <v>30</v>
      </c>
      <c r="C76" s="7" t="str">
        <f t="shared" si="5"/>
        <v/>
      </c>
      <c r="D76" s="91"/>
      <c r="E76" s="103"/>
      <c r="F76" s="97"/>
      <c r="G76" s="117"/>
      <c r="H76" s="98"/>
      <c r="I76" s="95"/>
      <c r="J76" s="96"/>
      <c r="K76" s="147" t="s">
        <v>105</v>
      </c>
      <c r="L76" s="158"/>
      <c r="M76" s="165"/>
      <c r="N76" s="159"/>
      <c r="O76" s="160"/>
      <c r="P76" s="169"/>
      <c r="Q76" s="21"/>
      <c r="R76" s="56"/>
      <c r="S76" s="58"/>
      <c r="T76" s="58"/>
      <c r="U76" s="58"/>
      <c r="V76" s="64"/>
      <c r="W76" s="60"/>
      <c r="X76" s="60"/>
      <c r="Y76" s="60"/>
      <c r="Z76" s="60"/>
      <c r="AA76" s="60"/>
      <c r="AB76" s="60"/>
      <c r="AC76" s="60"/>
      <c r="AD76" s="60"/>
      <c r="AE76" s="60"/>
      <c r="AF76" s="60"/>
      <c r="AG76" s="62"/>
      <c r="AH76" s="62"/>
      <c r="AI76" s="60"/>
      <c r="AJ76" s="60"/>
      <c r="AK76" s="60"/>
      <c r="AL76" s="56"/>
      <c r="AM76" s="58"/>
      <c r="AN76" s="58"/>
      <c r="AO76" s="58"/>
      <c r="AP76" s="62"/>
      <c r="AQ76" s="62"/>
      <c r="AR76" s="62"/>
      <c r="AS76" s="62"/>
      <c r="AT76" s="62"/>
      <c r="AU76" s="62"/>
      <c r="AV76" s="60"/>
      <c r="AW76" s="60"/>
      <c r="AX76" s="60"/>
      <c r="AY76" s="60"/>
      <c r="AZ76" s="60"/>
      <c r="BA76" s="60"/>
      <c r="BB76" s="60"/>
      <c r="BC76" s="60"/>
      <c r="BD76" s="60"/>
      <c r="BE76" s="60"/>
      <c r="BF76" s="56"/>
      <c r="BG76" s="58"/>
      <c r="BH76" s="58"/>
      <c r="BI76" s="58"/>
      <c r="BJ76" s="62"/>
      <c r="BK76" s="60"/>
      <c r="BL76" s="60"/>
      <c r="BM76" s="60"/>
      <c r="BN76" s="60"/>
      <c r="BO76" s="60"/>
      <c r="BP76" s="60"/>
      <c r="BQ76" s="60"/>
      <c r="BR76" s="60"/>
      <c r="BS76" s="60"/>
      <c r="BT76" s="60"/>
      <c r="BU76" s="60"/>
      <c r="BV76" s="60"/>
      <c r="BW76" s="60"/>
      <c r="BX76" s="60"/>
      <c r="BY76" s="60"/>
      <c r="BZ76" s="56"/>
      <c r="CA76" s="58"/>
      <c r="CB76" s="58"/>
      <c r="CC76" s="64"/>
      <c r="CD76" s="64"/>
      <c r="CE76" s="60"/>
      <c r="CF76" s="60"/>
      <c r="CG76" s="60"/>
      <c r="CH76" s="60"/>
      <c r="CI76" s="60"/>
      <c r="CJ76" s="60"/>
      <c r="CK76" s="60"/>
      <c r="CL76" s="60"/>
      <c r="CM76" s="60"/>
      <c r="CN76" s="60"/>
      <c r="CO76" s="60"/>
      <c r="CP76" s="60"/>
      <c r="CQ76" s="60"/>
      <c r="CR76" s="60"/>
      <c r="CS76" s="60"/>
      <c r="CT76" s="56"/>
      <c r="CU76" s="64"/>
      <c r="CV76" s="64"/>
      <c r="CW76" s="64"/>
      <c r="CX76" s="64"/>
      <c r="CY76" s="60"/>
      <c r="CZ76" s="60"/>
      <c r="DA76" s="60"/>
      <c r="DB76" s="60"/>
      <c r="DC76" s="60"/>
      <c r="DD76" s="60"/>
      <c r="DE76" s="60"/>
      <c r="DF76" s="60"/>
      <c r="DG76" s="60"/>
      <c r="DH76" s="60"/>
      <c r="DI76" s="60"/>
      <c r="DJ76" s="60"/>
      <c r="DK76" s="60"/>
      <c r="DL76" s="60"/>
      <c r="DM76" s="60"/>
      <c r="DN76" s="56"/>
      <c r="DO76" s="58"/>
      <c r="DP76" s="58"/>
      <c r="DQ76" s="64"/>
      <c r="DR76" s="60"/>
      <c r="DS76" s="60"/>
      <c r="DT76" s="60"/>
      <c r="DU76" s="60"/>
      <c r="DV76" s="60"/>
      <c r="DW76" s="60"/>
      <c r="DX76" s="60"/>
      <c r="DY76" s="60"/>
      <c r="DZ76" s="60"/>
      <c r="EA76" s="60"/>
      <c r="EB76" s="60"/>
      <c r="EC76" s="62"/>
      <c r="ED76" s="62"/>
      <c r="EE76" s="60"/>
      <c r="EF76" s="60"/>
      <c r="EG76" s="60"/>
      <c r="EH76" s="56"/>
      <c r="EI76" s="58"/>
      <c r="EJ76" s="58"/>
      <c r="EK76" s="64"/>
      <c r="EL76" s="60"/>
      <c r="EM76" s="60"/>
      <c r="EN76" s="60"/>
      <c r="EO76" s="60"/>
      <c r="EP76" s="60"/>
      <c r="EQ76" s="60"/>
      <c r="ER76" s="60"/>
      <c r="ES76" s="60"/>
      <c r="ET76" s="60"/>
      <c r="EU76" s="60"/>
      <c r="EV76" s="60"/>
      <c r="EW76" s="60"/>
      <c r="EX76" s="60"/>
      <c r="EY76" s="60"/>
      <c r="EZ76" s="60"/>
      <c r="FA76" s="60"/>
      <c r="FB76" s="56"/>
      <c r="FC76" s="64"/>
      <c r="FD76" s="64"/>
      <c r="FE76" s="64"/>
      <c r="FF76" s="60"/>
      <c r="FG76" s="60"/>
      <c r="FH76" s="60"/>
      <c r="FI76" s="60"/>
      <c r="FJ76" s="60"/>
      <c r="FK76" s="60"/>
      <c r="FL76" s="60"/>
      <c r="FM76" s="60"/>
      <c r="FN76" s="60"/>
      <c r="FO76" s="60"/>
      <c r="FP76" s="60"/>
      <c r="FQ76" s="60"/>
      <c r="FR76" s="60"/>
      <c r="FS76" s="60"/>
      <c r="FT76" s="60"/>
      <c r="FU76" s="60"/>
      <c r="FV76" s="56"/>
      <c r="FW76" s="64"/>
      <c r="FX76" s="64"/>
      <c r="FY76" s="64"/>
      <c r="FZ76" s="60"/>
      <c r="GA76" s="60"/>
      <c r="GB76" s="60"/>
      <c r="GC76" s="60"/>
      <c r="GD76" s="60"/>
      <c r="GE76" s="60"/>
      <c r="GF76" s="60"/>
      <c r="GG76" s="60"/>
      <c r="GH76" s="60"/>
      <c r="GI76" s="60"/>
      <c r="GJ76" s="60"/>
      <c r="GK76" s="60"/>
      <c r="GL76" s="60"/>
      <c r="GM76" s="60"/>
      <c r="GN76" s="60"/>
      <c r="GO76" s="60"/>
      <c r="GP76" s="56"/>
      <c r="GQ76" s="64"/>
      <c r="GR76" s="64"/>
      <c r="GS76" s="64"/>
      <c r="GT76" s="60"/>
      <c r="GU76" s="60"/>
      <c r="GV76" s="60"/>
      <c r="GW76" s="60"/>
      <c r="GX76" s="60"/>
      <c r="GY76" s="60"/>
      <c r="GZ76" s="62"/>
      <c r="HA76" s="62"/>
      <c r="HB76" s="62"/>
      <c r="HC76" s="62"/>
      <c r="HD76" s="62"/>
      <c r="HE76" s="62"/>
      <c r="HF76" s="62"/>
      <c r="HG76" s="62"/>
      <c r="HH76" s="62"/>
      <c r="HI76" s="62"/>
      <c r="HJ76" s="56"/>
      <c r="HK76" s="58"/>
      <c r="HL76" s="58"/>
      <c r="HM76" s="58"/>
      <c r="HN76" s="62"/>
      <c r="HO76" s="62"/>
      <c r="HP76" s="62"/>
      <c r="HQ76" s="62"/>
      <c r="HR76" s="62"/>
      <c r="HS76" s="62"/>
      <c r="HT76" s="62"/>
      <c r="HU76" s="62"/>
      <c r="HV76" s="62"/>
      <c r="HW76" s="62"/>
      <c r="HX76" s="62"/>
      <c r="HY76" s="62"/>
      <c r="HZ76" s="62"/>
      <c r="IA76" s="62"/>
      <c r="IB76" s="62"/>
      <c r="IC76" s="62"/>
      <c r="ID76" s="4"/>
      <c r="IF76" s="23"/>
      <c r="IG76" s="28"/>
      <c r="IH76" s="28" t="s">
        <v>98</v>
      </c>
      <c r="II76" s="29" t="str">
        <f t="shared" si="20"/>
        <v/>
      </c>
      <c r="IJ76" s="29" t="str">
        <f t="shared" si="21"/>
        <v>ColorNone</v>
      </c>
      <c r="IK76" s="8">
        <f t="shared" si="22"/>
        <v>0</v>
      </c>
      <c r="IL76" s="23"/>
    </row>
    <row r="77" spans="1:246" ht="14.25" thickBot="1" x14ac:dyDescent="0.2">
      <c r="A77" s="223"/>
      <c r="B77" s="6" t="s">
        <v>31</v>
      </c>
      <c r="C77" s="7" t="str">
        <f t="shared" si="5"/>
        <v/>
      </c>
      <c r="D77" s="91"/>
      <c r="E77" s="103"/>
      <c r="F77" s="97"/>
      <c r="G77" s="117"/>
      <c r="H77" s="98"/>
      <c r="I77" s="95"/>
      <c r="J77" s="96"/>
      <c r="K77" s="147" t="s">
        <v>105</v>
      </c>
      <c r="L77" s="158"/>
      <c r="M77" s="165"/>
      <c r="N77" s="159"/>
      <c r="O77" s="160"/>
      <c r="P77" s="169"/>
      <c r="Q77" s="21"/>
      <c r="R77" s="56"/>
      <c r="S77" s="58"/>
      <c r="T77" s="58"/>
      <c r="U77" s="58"/>
      <c r="V77" s="64"/>
      <c r="W77" s="60"/>
      <c r="X77" s="60"/>
      <c r="Y77" s="60"/>
      <c r="Z77" s="60"/>
      <c r="AA77" s="60"/>
      <c r="AB77" s="60"/>
      <c r="AC77" s="60"/>
      <c r="AD77" s="60"/>
      <c r="AE77" s="60"/>
      <c r="AF77" s="60"/>
      <c r="AG77" s="62"/>
      <c r="AH77" s="62"/>
      <c r="AI77" s="60"/>
      <c r="AJ77" s="60"/>
      <c r="AK77" s="60"/>
      <c r="AL77" s="56"/>
      <c r="AM77" s="58"/>
      <c r="AN77" s="58"/>
      <c r="AO77" s="58"/>
      <c r="AP77" s="62"/>
      <c r="AQ77" s="62"/>
      <c r="AR77" s="62"/>
      <c r="AS77" s="62"/>
      <c r="AT77" s="62"/>
      <c r="AU77" s="62"/>
      <c r="AV77" s="60"/>
      <c r="AW77" s="60"/>
      <c r="AX77" s="60"/>
      <c r="AY77" s="60"/>
      <c r="AZ77" s="60"/>
      <c r="BA77" s="60"/>
      <c r="BB77" s="60"/>
      <c r="BC77" s="60"/>
      <c r="BD77" s="60"/>
      <c r="BE77" s="60"/>
      <c r="BF77" s="56"/>
      <c r="BG77" s="58"/>
      <c r="BH77" s="58"/>
      <c r="BI77" s="58"/>
      <c r="BJ77" s="62"/>
      <c r="BK77" s="60"/>
      <c r="BL77" s="60"/>
      <c r="BM77" s="60"/>
      <c r="BN77" s="60"/>
      <c r="BO77" s="60"/>
      <c r="BP77" s="60"/>
      <c r="BQ77" s="60"/>
      <c r="BR77" s="60"/>
      <c r="BS77" s="60"/>
      <c r="BT77" s="60"/>
      <c r="BU77" s="60"/>
      <c r="BV77" s="60"/>
      <c r="BW77" s="60"/>
      <c r="BX77" s="60"/>
      <c r="BY77" s="60"/>
      <c r="BZ77" s="56"/>
      <c r="CA77" s="58"/>
      <c r="CB77" s="58"/>
      <c r="CC77" s="64"/>
      <c r="CD77" s="64"/>
      <c r="CE77" s="60"/>
      <c r="CF77" s="60"/>
      <c r="CG77" s="60"/>
      <c r="CH77" s="60"/>
      <c r="CI77" s="60"/>
      <c r="CJ77" s="60"/>
      <c r="CK77" s="60"/>
      <c r="CL77" s="60"/>
      <c r="CM77" s="60"/>
      <c r="CN77" s="60"/>
      <c r="CO77" s="60"/>
      <c r="CP77" s="60"/>
      <c r="CQ77" s="60"/>
      <c r="CR77" s="60"/>
      <c r="CS77" s="60"/>
      <c r="CT77" s="56"/>
      <c r="CU77" s="64"/>
      <c r="CV77" s="64"/>
      <c r="CW77" s="64"/>
      <c r="CX77" s="64"/>
      <c r="CY77" s="60"/>
      <c r="CZ77" s="60"/>
      <c r="DA77" s="60"/>
      <c r="DB77" s="60"/>
      <c r="DC77" s="60"/>
      <c r="DD77" s="60"/>
      <c r="DE77" s="60"/>
      <c r="DF77" s="60"/>
      <c r="DG77" s="60"/>
      <c r="DH77" s="60"/>
      <c r="DI77" s="60"/>
      <c r="DJ77" s="60"/>
      <c r="DK77" s="60"/>
      <c r="DL77" s="60"/>
      <c r="DM77" s="60"/>
      <c r="DN77" s="56"/>
      <c r="DO77" s="58"/>
      <c r="DP77" s="58"/>
      <c r="DQ77" s="64"/>
      <c r="DR77" s="60"/>
      <c r="DS77" s="60"/>
      <c r="DT77" s="60"/>
      <c r="DU77" s="60"/>
      <c r="DV77" s="60"/>
      <c r="DW77" s="60"/>
      <c r="DX77" s="60"/>
      <c r="DY77" s="60"/>
      <c r="DZ77" s="60"/>
      <c r="EA77" s="60"/>
      <c r="EB77" s="60"/>
      <c r="EC77" s="62"/>
      <c r="ED77" s="62"/>
      <c r="EE77" s="60"/>
      <c r="EF77" s="60"/>
      <c r="EG77" s="60"/>
      <c r="EH77" s="56"/>
      <c r="EI77" s="58"/>
      <c r="EJ77" s="58"/>
      <c r="EK77" s="64"/>
      <c r="EL77" s="60"/>
      <c r="EM77" s="60"/>
      <c r="EN77" s="60"/>
      <c r="EO77" s="60"/>
      <c r="EP77" s="60"/>
      <c r="EQ77" s="60"/>
      <c r="ER77" s="60"/>
      <c r="ES77" s="60"/>
      <c r="ET77" s="60"/>
      <c r="EU77" s="60"/>
      <c r="EV77" s="60"/>
      <c r="EW77" s="60"/>
      <c r="EX77" s="60"/>
      <c r="EY77" s="60"/>
      <c r="EZ77" s="60"/>
      <c r="FA77" s="60"/>
      <c r="FB77" s="56"/>
      <c r="FC77" s="64"/>
      <c r="FD77" s="64"/>
      <c r="FE77" s="64"/>
      <c r="FF77" s="60"/>
      <c r="FG77" s="60"/>
      <c r="FH77" s="60"/>
      <c r="FI77" s="60"/>
      <c r="FJ77" s="60"/>
      <c r="FK77" s="60"/>
      <c r="FL77" s="60"/>
      <c r="FM77" s="60"/>
      <c r="FN77" s="60"/>
      <c r="FO77" s="60"/>
      <c r="FP77" s="60"/>
      <c r="FQ77" s="60"/>
      <c r="FR77" s="60"/>
      <c r="FS77" s="60"/>
      <c r="FT77" s="60"/>
      <c r="FU77" s="60"/>
      <c r="FV77" s="56"/>
      <c r="FW77" s="64"/>
      <c r="FX77" s="64"/>
      <c r="FY77" s="64"/>
      <c r="FZ77" s="60"/>
      <c r="GA77" s="60"/>
      <c r="GB77" s="60"/>
      <c r="GC77" s="60"/>
      <c r="GD77" s="60"/>
      <c r="GE77" s="60"/>
      <c r="GF77" s="60"/>
      <c r="GG77" s="60"/>
      <c r="GH77" s="60"/>
      <c r="GI77" s="60"/>
      <c r="GJ77" s="60"/>
      <c r="GK77" s="60"/>
      <c r="GL77" s="60"/>
      <c r="GM77" s="60"/>
      <c r="GN77" s="60"/>
      <c r="GO77" s="60"/>
      <c r="GP77" s="56"/>
      <c r="GQ77" s="64"/>
      <c r="GR77" s="64"/>
      <c r="GS77" s="64"/>
      <c r="GT77" s="60"/>
      <c r="GU77" s="60"/>
      <c r="GV77" s="60"/>
      <c r="GW77" s="60"/>
      <c r="GX77" s="60"/>
      <c r="GY77" s="60"/>
      <c r="GZ77" s="62"/>
      <c r="HA77" s="62"/>
      <c r="HB77" s="62"/>
      <c r="HC77" s="62"/>
      <c r="HD77" s="62"/>
      <c r="HE77" s="62"/>
      <c r="HF77" s="62"/>
      <c r="HG77" s="62"/>
      <c r="HH77" s="62"/>
      <c r="HI77" s="62"/>
      <c r="HJ77" s="56"/>
      <c r="HK77" s="58"/>
      <c r="HL77" s="58"/>
      <c r="HM77" s="58"/>
      <c r="HN77" s="62"/>
      <c r="HO77" s="62"/>
      <c r="HP77" s="62"/>
      <c r="HQ77" s="62"/>
      <c r="HR77" s="62"/>
      <c r="HS77" s="62"/>
      <c r="HT77" s="62"/>
      <c r="HU77" s="62"/>
      <c r="HV77" s="62"/>
      <c r="HW77" s="62"/>
      <c r="HX77" s="62"/>
      <c r="HY77" s="62"/>
      <c r="HZ77" s="62"/>
      <c r="IA77" s="62"/>
      <c r="IB77" s="62"/>
      <c r="IC77" s="62"/>
      <c r="ID77" s="4"/>
      <c r="IF77" s="23"/>
      <c r="IG77" s="28"/>
      <c r="IH77" s="28" t="s">
        <v>98</v>
      </c>
      <c r="II77" s="29" t="str">
        <f t="shared" si="20"/>
        <v/>
      </c>
      <c r="IJ77" s="29" t="str">
        <f t="shared" si="21"/>
        <v>ColorNone</v>
      </c>
      <c r="IK77" s="8">
        <f t="shared" si="22"/>
        <v>0</v>
      </c>
      <c r="IL77" s="23"/>
    </row>
    <row r="78" spans="1:246" ht="14.25" thickBot="1" x14ac:dyDescent="0.2">
      <c r="A78" s="223"/>
      <c r="B78" s="6" t="s">
        <v>88</v>
      </c>
      <c r="C78" s="7" t="str">
        <f t="shared" si="5"/>
        <v/>
      </c>
      <c r="D78" s="91"/>
      <c r="E78" s="103"/>
      <c r="F78" s="97"/>
      <c r="G78" s="117"/>
      <c r="H78" s="98"/>
      <c r="I78" s="95"/>
      <c r="J78" s="96"/>
      <c r="K78" s="147" t="s">
        <v>105</v>
      </c>
      <c r="L78" s="158"/>
      <c r="M78" s="165"/>
      <c r="N78" s="159"/>
      <c r="O78" s="160"/>
      <c r="P78" s="169"/>
      <c r="Q78" s="21"/>
      <c r="R78" s="56"/>
      <c r="S78" s="58"/>
      <c r="T78" s="58"/>
      <c r="U78" s="58"/>
      <c r="V78" s="64"/>
      <c r="W78" s="60"/>
      <c r="X78" s="60"/>
      <c r="Y78" s="60"/>
      <c r="Z78" s="60"/>
      <c r="AA78" s="60"/>
      <c r="AB78" s="60"/>
      <c r="AC78" s="60"/>
      <c r="AD78" s="60"/>
      <c r="AE78" s="60"/>
      <c r="AF78" s="60"/>
      <c r="AG78" s="62"/>
      <c r="AH78" s="62"/>
      <c r="AI78" s="60"/>
      <c r="AJ78" s="60"/>
      <c r="AK78" s="60"/>
      <c r="AL78" s="56"/>
      <c r="AM78" s="58"/>
      <c r="AN78" s="58"/>
      <c r="AO78" s="58"/>
      <c r="AP78" s="62"/>
      <c r="AQ78" s="62"/>
      <c r="AR78" s="62"/>
      <c r="AS78" s="62"/>
      <c r="AT78" s="62"/>
      <c r="AU78" s="62"/>
      <c r="AV78" s="60"/>
      <c r="AW78" s="60"/>
      <c r="AX78" s="60"/>
      <c r="AY78" s="60"/>
      <c r="AZ78" s="60"/>
      <c r="BA78" s="60"/>
      <c r="BB78" s="60"/>
      <c r="BC78" s="60"/>
      <c r="BD78" s="60"/>
      <c r="BE78" s="60"/>
      <c r="BF78" s="56"/>
      <c r="BG78" s="58"/>
      <c r="BH78" s="58"/>
      <c r="BI78" s="58"/>
      <c r="BJ78" s="62"/>
      <c r="BK78" s="60"/>
      <c r="BL78" s="60"/>
      <c r="BM78" s="60"/>
      <c r="BN78" s="60"/>
      <c r="BO78" s="60"/>
      <c r="BP78" s="60"/>
      <c r="BQ78" s="60"/>
      <c r="BR78" s="60"/>
      <c r="BS78" s="60"/>
      <c r="BT78" s="60"/>
      <c r="BU78" s="60"/>
      <c r="BV78" s="60"/>
      <c r="BW78" s="60"/>
      <c r="BX78" s="60"/>
      <c r="BY78" s="60"/>
      <c r="BZ78" s="56"/>
      <c r="CA78" s="58"/>
      <c r="CB78" s="58"/>
      <c r="CC78" s="64"/>
      <c r="CD78" s="64"/>
      <c r="CE78" s="60"/>
      <c r="CF78" s="60"/>
      <c r="CG78" s="60"/>
      <c r="CH78" s="60"/>
      <c r="CI78" s="60"/>
      <c r="CJ78" s="60"/>
      <c r="CK78" s="60"/>
      <c r="CL78" s="60"/>
      <c r="CM78" s="60"/>
      <c r="CN78" s="60"/>
      <c r="CO78" s="60"/>
      <c r="CP78" s="60"/>
      <c r="CQ78" s="60"/>
      <c r="CR78" s="60"/>
      <c r="CS78" s="60"/>
      <c r="CT78" s="56"/>
      <c r="CU78" s="64"/>
      <c r="CV78" s="64"/>
      <c r="CW78" s="64"/>
      <c r="CX78" s="64"/>
      <c r="CY78" s="60"/>
      <c r="CZ78" s="60"/>
      <c r="DA78" s="60"/>
      <c r="DB78" s="60"/>
      <c r="DC78" s="60"/>
      <c r="DD78" s="60"/>
      <c r="DE78" s="60"/>
      <c r="DF78" s="60"/>
      <c r="DG78" s="60"/>
      <c r="DH78" s="60"/>
      <c r="DI78" s="60"/>
      <c r="DJ78" s="60"/>
      <c r="DK78" s="60"/>
      <c r="DL78" s="60"/>
      <c r="DM78" s="60"/>
      <c r="DN78" s="56"/>
      <c r="DO78" s="58"/>
      <c r="DP78" s="58"/>
      <c r="DQ78" s="64"/>
      <c r="DR78" s="60"/>
      <c r="DS78" s="60"/>
      <c r="DT78" s="60"/>
      <c r="DU78" s="60"/>
      <c r="DV78" s="60"/>
      <c r="DW78" s="60"/>
      <c r="DX78" s="60"/>
      <c r="DY78" s="60"/>
      <c r="DZ78" s="60"/>
      <c r="EA78" s="60"/>
      <c r="EB78" s="60"/>
      <c r="EC78" s="62"/>
      <c r="ED78" s="62"/>
      <c r="EE78" s="60"/>
      <c r="EF78" s="60"/>
      <c r="EG78" s="60"/>
      <c r="EH78" s="56"/>
      <c r="EI78" s="58"/>
      <c r="EJ78" s="58"/>
      <c r="EK78" s="64"/>
      <c r="EL78" s="60"/>
      <c r="EM78" s="60"/>
      <c r="EN78" s="60"/>
      <c r="EO78" s="60"/>
      <c r="EP78" s="60"/>
      <c r="EQ78" s="60"/>
      <c r="ER78" s="60"/>
      <c r="ES78" s="60"/>
      <c r="ET78" s="60"/>
      <c r="EU78" s="60"/>
      <c r="EV78" s="60"/>
      <c r="EW78" s="60"/>
      <c r="EX78" s="60"/>
      <c r="EY78" s="60"/>
      <c r="EZ78" s="60"/>
      <c r="FA78" s="60"/>
      <c r="FB78" s="56"/>
      <c r="FC78" s="64"/>
      <c r="FD78" s="64"/>
      <c r="FE78" s="64"/>
      <c r="FF78" s="60"/>
      <c r="FG78" s="60"/>
      <c r="FH78" s="60"/>
      <c r="FI78" s="60"/>
      <c r="FJ78" s="60"/>
      <c r="FK78" s="60"/>
      <c r="FL78" s="60"/>
      <c r="FM78" s="60"/>
      <c r="FN78" s="60"/>
      <c r="FO78" s="60"/>
      <c r="FP78" s="60"/>
      <c r="FQ78" s="60"/>
      <c r="FR78" s="60"/>
      <c r="FS78" s="60"/>
      <c r="FT78" s="60"/>
      <c r="FU78" s="60"/>
      <c r="FV78" s="56"/>
      <c r="FW78" s="64"/>
      <c r="FX78" s="64"/>
      <c r="FY78" s="64"/>
      <c r="FZ78" s="60"/>
      <c r="GA78" s="60"/>
      <c r="GB78" s="60"/>
      <c r="GC78" s="60"/>
      <c r="GD78" s="60"/>
      <c r="GE78" s="60"/>
      <c r="GF78" s="60"/>
      <c r="GG78" s="60"/>
      <c r="GH78" s="60"/>
      <c r="GI78" s="60"/>
      <c r="GJ78" s="60"/>
      <c r="GK78" s="60"/>
      <c r="GL78" s="60"/>
      <c r="GM78" s="60"/>
      <c r="GN78" s="60"/>
      <c r="GO78" s="60"/>
      <c r="GP78" s="56"/>
      <c r="GQ78" s="64"/>
      <c r="GR78" s="64"/>
      <c r="GS78" s="64"/>
      <c r="GT78" s="60"/>
      <c r="GU78" s="60"/>
      <c r="GV78" s="60"/>
      <c r="GW78" s="60"/>
      <c r="GX78" s="60"/>
      <c r="GY78" s="60"/>
      <c r="GZ78" s="62"/>
      <c r="HA78" s="62"/>
      <c r="HB78" s="62"/>
      <c r="HC78" s="62"/>
      <c r="HD78" s="62"/>
      <c r="HE78" s="62"/>
      <c r="HF78" s="62"/>
      <c r="HG78" s="62"/>
      <c r="HH78" s="62"/>
      <c r="HI78" s="62"/>
      <c r="HJ78" s="56"/>
      <c r="HK78" s="58"/>
      <c r="HL78" s="58"/>
      <c r="HM78" s="58"/>
      <c r="HN78" s="62"/>
      <c r="HO78" s="62"/>
      <c r="HP78" s="62"/>
      <c r="HQ78" s="62"/>
      <c r="HR78" s="62"/>
      <c r="HS78" s="62"/>
      <c r="HT78" s="62"/>
      <c r="HU78" s="62"/>
      <c r="HV78" s="62"/>
      <c r="HW78" s="62"/>
      <c r="HX78" s="62"/>
      <c r="HY78" s="62"/>
      <c r="HZ78" s="62"/>
      <c r="IA78" s="62"/>
      <c r="IB78" s="62"/>
      <c r="IC78" s="62"/>
      <c r="ID78" s="4"/>
      <c r="IF78" s="23"/>
      <c r="IG78" s="28"/>
      <c r="IH78" s="28" t="s">
        <v>98</v>
      </c>
      <c r="II78" s="29" t="str">
        <f t="shared" si="20"/>
        <v/>
      </c>
      <c r="IJ78" s="29" t="str">
        <f t="shared" si="21"/>
        <v>ColorNone</v>
      </c>
      <c r="IK78" s="8">
        <f t="shared" si="22"/>
        <v>0</v>
      </c>
      <c r="IL78" s="23"/>
    </row>
    <row r="79" spans="1:246" ht="14.25" thickBot="1" x14ac:dyDescent="0.2">
      <c r="A79" s="223"/>
      <c r="B79" s="6" t="s">
        <v>32</v>
      </c>
      <c r="C79" s="7" t="str">
        <f t="shared" si="5"/>
        <v/>
      </c>
      <c r="D79" s="91"/>
      <c r="E79" s="103"/>
      <c r="F79" s="97"/>
      <c r="G79" s="117"/>
      <c r="H79" s="98"/>
      <c r="I79" s="95"/>
      <c r="J79" s="96"/>
      <c r="K79" s="147" t="s">
        <v>105</v>
      </c>
      <c r="L79" s="158"/>
      <c r="M79" s="165"/>
      <c r="N79" s="159"/>
      <c r="O79" s="160"/>
      <c r="P79" s="169"/>
      <c r="Q79" s="21"/>
      <c r="R79" s="56"/>
      <c r="S79" s="58"/>
      <c r="T79" s="58"/>
      <c r="U79" s="58"/>
      <c r="V79" s="64"/>
      <c r="W79" s="60"/>
      <c r="X79" s="60"/>
      <c r="Y79" s="60"/>
      <c r="Z79" s="60"/>
      <c r="AA79" s="60"/>
      <c r="AB79" s="60"/>
      <c r="AC79" s="60"/>
      <c r="AD79" s="60"/>
      <c r="AE79" s="60"/>
      <c r="AF79" s="60"/>
      <c r="AG79" s="62"/>
      <c r="AH79" s="62"/>
      <c r="AI79" s="60"/>
      <c r="AJ79" s="60"/>
      <c r="AK79" s="60"/>
      <c r="AL79" s="56"/>
      <c r="AM79" s="58"/>
      <c r="AN79" s="58"/>
      <c r="AO79" s="58"/>
      <c r="AP79" s="62"/>
      <c r="AQ79" s="62"/>
      <c r="AR79" s="62"/>
      <c r="AS79" s="62"/>
      <c r="AT79" s="62"/>
      <c r="AU79" s="62"/>
      <c r="AV79" s="60"/>
      <c r="AW79" s="60"/>
      <c r="AX79" s="60"/>
      <c r="AY79" s="60"/>
      <c r="AZ79" s="60"/>
      <c r="BA79" s="60"/>
      <c r="BB79" s="60"/>
      <c r="BC79" s="60"/>
      <c r="BD79" s="60"/>
      <c r="BE79" s="60"/>
      <c r="BF79" s="56"/>
      <c r="BG79" s="58"/>
      <c r="BH79" s="58"/>
      <c r="BI79" s="58"/>
      <c r="BJ79" s="62"/>
      <c r="BK79" s="60"/>
      <c r="BL79" s="60"/>
      <c r="BM79" s="60"/>
      <c r="BN79" s="60"/>
      <c r="BO79" s="60"/>
      <c r="BP79" s="60"/>
      <c r="BQ79" s="60"/>
      <c r="BR79" s="60"/>
      <c r="BS79" s="60"/>
      <c r="BT79" s="60"/>
      <c r="BU79" s="60"/>
      <c r="BV79" s="60"/>
      <c r="BW79" s="60"/>
      <c r="BX79" s="60"/>
      <c r="BY79" s="60"/>
      <c r="BZ79" s="56"/>
      <c r="CA79" s="58"/>
      <c r="CB79" s="58"/>
      <c r="CC79" s="64"/>
      <c r="CD79" s="64"/>
      <c r="CE79" s="60"/>
      <c r="CF79" s="60"/>
      <c r="CG79" s="60"/>
      <c r="CH79" s="60"/>
      <c r="CI79" s="60"/>
      <c r="CJ79" s="60"/>
      <c r="CK79" s="60"/>
      <c r="CL79" s="60"/>
      <c r="CM79" s="60"/>
      <c r="CN79" s="60"/>
      <c r="CO79" s="60"/>
      <c r="CP79" s="60"/>
      <c r="CQ79" s="60"/>
      <c r="CR79" s="60"/>
      <c r="CS79" s="60"/>
      <c r="CT79" s="56"/>
      <c r="CU79" s="64"/>
      <c r="CV79" s="64"/>
      <c r="CW79" s="64"/>
      <c r="CX79" s="64"/>
      <c r="CY79" s="60"/>
      <c r="CZ79" s="60"/>
      <c r="DA79" s="60"/>
      <c r="DB79" s="60"/>
      <c r="DC79" s="60"/>
      <c r="DD79" s="60"/>
      <c r="DE79" s="60"/>
      <c r="DF79" s="60"/>
      <c r="DG79" s="60"/>
      <c r="DH79" s="60"/>
      <c r="DI79" s="60"/>
      <c r="DJ79" s="60"/>
      <c r="DK79" s="60"/>
      <c r="DL79" s="60"/>
      <c r="DM79" s="60"/>
      <c r="DN79" s="56"/>
      <c r="DO79" s="58"/>
      <c r="DP79" s="58"/>
      <c r="DQ79" s="64"/>
      <c r="DR79" s="60"/>
      <c r="DS79" s="60"/>
      <c r="DT79" s="60"/>
      <c r="DU79" s="60"/>
      <c r="DV79" s="60"/>
      <c r="DW79" s="60"/>
      <c r="DX79" s="60"/>
      <c r="DY79" s="60"/>
      <c r="DZ79" s="60"/>
      <c r="EA79" s="60"/>
      <c r="EB79" s="60"/>
      <c r="EC79" s="62"/>
      <c r="ED79" s="62"/>
      <c r="EE79" s="60"/>
      <c r="EF79" s="60"/>
      <c r="EG79" s="60"/>
      <c r="EH79" s="56"/>
      <c r="EI79" s="58"/>
      <c r="EJ79" s="58"/>
      <c r="EK79" s="64"/>
      <c r="EL79" s="60"/>
      <c r="EM79" s="60"/>
      <c r="EN79" s="60"/>
      <c r="EO79" s="60"/>
      <c r="EP79" s="60"/>
      <c r="EQ79" s="60"/>
      <c r="ER79" s="60"/>
      <c r="ES79" s="60"/>
      <c r="ET79" s="60"/>
      <c r="EU79" s="60"/>
      <c r="EV79" s="60"/>
      <c r="EW79" s="60"/>
      <c r="EX79" s="60"/>
      <c r="EY79" s="60"/>
      <c r="EZ79" s="60"/>
      <c r="FA79" s="60"/>
      <c r="FB79" s="56"/>
      <c r="FC79" s="64"/>
      <c r="FD79" s="64"/>
      <c r="FE79" s="64"/>
      <c r="FF79" s="60"/>
      <c r="FG79" s="60"/>
      <c r="FH79" s="60"/>
      <c r="FI79" s="60"/>
      <c r="FJ79" s="60"/>
      <c r="FK79" s="60"/>
      <c r="FL79" s="60"/>
      <c r="FM79" s="60"/>
      <c r="FN79" s="60"/>
      <c r="FO79" s="60"/>
      <c r="FP79" s="60"/>
      <c r="FQ79" s="60"/>
      <c r="FR79" s="60"/>
      <c r="FS79" s="60"/>
      <c r="FT79" s="60"/>
      <c r="FU79" s="60"/>
      <c r="FV79" s="56"/>
      <c r="FW79" s="64"/>
      <c r="FX79" s="64"/>
      <c r="FY79" s="64"/>
      <c r="FZ79" s="60"/>
      <c r="GA79" s="60"/>
      <c r="GB79" s="60"/>
      <c r="GC79" s="60"/>
      <c r="GD79" s="60"/>
      <c r="GE79" s="60"/>
      <c r="GF79" s="60"/>
      <c r="GG79" s="60"/>
      <c r="GH79" s="60"/>
      <c r="GI79" s="60"/>
      <c r="GJ79" s="60"/>
      <c r="GK79" s="60"/>
      <c r="GL79" s="60"/>
      <c r="GM79" s="60"/>
      <c r="GN79" s="60"/>
      <c r="GO79" s="60"/>
      <c r="GP79" s="56"/>
      <c r="GQ79" s="64"/>
      <c r="GR79" s="64"/>
      <c r="GS79" s="64"/>
      <c r="GT79" s="60"/>
      <c r="GU79" s="60"/>
      <c r="GV79" s="60"/>
      <c r="GW79" s="60"/>
      <c r="GX79" s="60"/>
      <c r="GY79" s="60"/>
      <c r="GZ79" s="62"/>
      <c r="HA79" s="62"/>
      <c r="HB79" s="62"/>
      <c r="HC79" s="62"/>
      <c r="HD79" s="62"/>
      <c r="HE79" s="62"/>
      <c r="HF79" s="62"/>
      <c r="HG79" s="62"/>
      <c r="HH79" s="62"/>
      <c r="HI79" s="62"/>
      <c r="HJ79" s="56"/>
      <c r="HK79" s="58"/>
      <c r="HL79" s="58"/>
      <c r="HM79" s="58"/>
      <c r="HN79" s="62"/>
      <c r="HO79" s="62"/>
      <c r="HP79" s="62"/>
      <c r="HQ79" s="62"/>
      <c r="HR79" s="62"/>
      <c r="HS79" s="62"/>
      <c r="HT79" s="62"/>
      <c r="HU79" s="62"/>
      <c r="HV79" s="62"/>
      <c r="HW79" s="62"/>
      <c r="HX79" s="62"/>
      <c r="HY79" s="62"/>
      <c r="HZ79" s="62"/>
      <c r="IA79" s="62"/>
      <c r="IB79" s="62"/>
      <c r="IC79" s="62"/>
      <c r="ID79" s="4"/>
      <c r="IF79" s="23"/>
      <c r="IG79" s="28"/>
      <c r="IH79" s="28" t="s">
        <v>98</v>
      </c>
      <c r="II79" s="29" t="str">
        <f t="shared" si="20"/>
        <v/>
      </c>
      <c r="IJ79" s="29" t="str">
        <f t="shared" si="21"/>
        <v>ColorNone</v>
      </c>
      <c r="IK79" s="8">
        <f t="shared" si="22"/>
        <v>0</v>
      </c>
      <c r="IL79" s="23"/>
    </row>
    <row r="80" spans="1:246" ht="14.25" thickBot="1" x14ac:dyDescent="0.2">
      <c r="A80" s="223"/>
      <c r="B80" s="6" t="s">
        <v>33</v>
      </c>
      <c r="C80" s="7" t="str">
        <f t="shared" si="5"/>
        <v/>
      </c>
      <c r="D80" s="91"/>
      <c r="E80" s="103"/>
      <c r="F80" s="97"/>
      <c r="G80" s="117"/>
      <c r="H80" s="98"/>
      <c r="I80" s="95"/>
      <c r="J80" s="96"/>
      <c r="K80" s="147" t="s">
        <v>105</v>
      </c>
      <c r="L80" s="158"/>
      <c r="M80" s="165"/>
      <c r="N80" s="159"/>
      <c r="O80" s="160"/>
      <c r="P80" s="169"/>
      <c r="Q80" s="21"/>
      <c r="R80" s="56"/>
      <c r="S80" s="58"/>
      <c r="T80" s="58"/>
      <c r="U80" s="58"/>
      <c r="V80" s="64"/>
      <c r="W80" s="60"/>
      <c r="X80" s="60"/>
      <c r="Y80" s="60"/>
      <c r="Z80" s="60"/>
      <c r="AA80" s="60"/>
      <c r="AB80" s="60"/>
      <c r="AC80" s="60"/>
      <c r="AD80" s="60"/>
      <c r="AE80" s="60"/>
      <c r="AF80" s="60"/>
      <c r="AG80" s="62"/>
      <c r="AH80" s="62"/>
      <c r="AI80" s="60"/>
      <c r="AJ80" s="60"/>
      <c r="AK80" s="60"/>
      <c r="AL80" s="56"/>
      <c r="AM80" s="58"/>
      <c r="AN80" s="58"/>
      <c r="AO80" s="58"/>
      <c r="AP80" s="62"/>
      <c r="AQ80" s="62"/>
      <c r="AR80" s="62"/>
      <c r="AS80" s="62"/>
      <c r="AT80" s="62"/>
      <c r="AU80" s="62"/>
      <c r="AV80" s="60"/>
      <c r="AW80" s="60"/>
      <c r="AX80" s="60"/>
      <c r="AY80" s="60"/>
      <c r="AZ80" s="60"/>
      <c r="BA80" s="60"/>
      <c r="BB80" s="60"/>
      <c r="BC80" s="60"/>
      <c r="BD80" s="60"/>
      <c r="BE80" s="60"/>
      <c r="BF80" s="56"/>
      <c r="BG80" s="58"/>
      <c r="BH80" s="58"/>
      <c r="BI80" s="58"/>
      <c r="BJ80" s="62"/>
      <c r="BK80" s="60"/>
      <c r="BL80" s="60"/>
      <c r="BM80" s="60"/>
      <c r="BN80" s="60"/>
      <c r="BO80" s="60"/>
      <c r="BP80" s="60"/>
      <c r="BQ80" s="60"/>
      <c r="BR80" s="60"/>
      <c r="BS80" s="60"/>
      <c r="BT80" s="60"/>
      <c r="BU80" s="60"/>
      <c r="BV80" s="60"/>
      <c r="BW80" s="60"/>
      <c r="BX80" s="60"/>
      <c r="BY80" s="60"/>
      <c r="BZ80" s="56"/>
      <c r="CA80" s="58"/>
      <c r="CB80" s="58"/>
      <c r="CC80" s="64"/>
      <c r="CD80" s="64"/>
      <c r="CE80" s="60"/>
      <c r="CF80" s="60"/>
      <c r="CG80" s="60"/>
      <c r="CH80" s="60"/>
      <c r="CI80" s="60"/>
      <c r="CJ80" s="60"/>
      <c r="CK80" s="60"/>
      <c r="CL80" s="60"/>
      <c r="CM80" s="60"/>
      <c r="CN80" s="60"/>
      <c r="CO80" s="60"/>
      <c r="CP80" s="60"/>
      <c r="CQ80" s="60"/>
      <c r="CR80" s="60"/>
      <c r="CS80" s="60"/>
      <c r="CT80" s="56"/>
      <c r="CU80" s="64"/>
      <c r="CV80" s="64"/>
      <c r="CW80" s="64"/>
      <c r="CX80" s="64"/>
      <c r="CY80" s="60"/>
      <c r="CZ80" s="60"/>
      <c r="DA80" s="60"/>
      <c r="DB80" s="60"/>
      <c r="DC80" s="60"/>
      <c r="DD80" s="60"/>
      <c r="DE80" s="60"/>
      <c r="DF80" s="60"/>
      <c r="DG80" s="60"/>
      <c r="DH80" s="60"/>
      <c r="DI80" s="60"/>
      <c r="DJ80" s="60"/>
      <c r="DK80" s="60"/>
      <c r="DL80" s="60"/>
      <c r="DM80" s="60"/>
      <c r="DN80" s="56"/>
      <c r="DO80" s="58"/>
      <c r="DP80" s="58"/>
      <c r="DQ80" s="64"/>
      <c r="DR80" s="60"/>
      <c r="DS80" s="60"/>
      <c r="DT80" s="60"/>
      <c r="DU80" s="60"/>
      <c r="DV80" s="60"/>
      <c r="DW80" s="60"/>
      <c r="DX80" s="60"/>
      <c r="DY80" s="60"/>
      <c r="DZ80" s="60"/>
      <c r="EA80" s="60"/>
      <c r="EB80" s="60"/>
      <c r="EC80" s="62"/>
      <c r="ED80" s="62"/>
      <c r="EE80" s="60"/>
      <c r="EF80" s="60"/>
      <c r="EG80" s="60"/>
      <c r="EH80" s="56"/>
      <c r="EI80" s="58"/>
      <c r="EJ80" s="58"/>
      <c r="EK80" s="64"/>
      <c r="EL80" s="60"/>
      <c r="EM80" s="60"/>
      <c r="EN80" s="60"/>
      <c r="EO80" s="60"/>
      <c r="EP80" s="60"/>
      <c r="EQ80" s="60"/>
      <c r="ER80" s="60"/>
      <c r="ES80" s="60"/>
      <c r="ET80" s="60"/>
      <c r="EU80" s="60"/>
      <c r="EV80" s="60"/>
      <c r="EW80" s="60"/>
      <c r="EX80" s="60"/>
      <c r="EY80" s="60"/>
      <c r="EZ80" s="60"/>
      <c r="FA80" s="60"/>
      <c r="FB80" s="56"/>
      <c r="FC80" s="64"/>
      <c r="FD80" s="64"/>
      <c r="FE80" s="64"/>
      <c r="FF80" s="60"/>
      <c r="FG80" s="60"/>
      <c r="FH80" s="60"/>
      <c r="FI80" s="60"/>
      <c r="FJ80" s="60"/>
      <c r="FK80" s="60"/>
      <c r="FL80" s="60"/>
      <c r="FM80" s="60"/>
      <c r="FN80" s="60"/>
      <c r="FO80" s="60"/>
      <c r="FP80" s="60"/>
      <c r="FQ80" s="60"/>
      <c r="FR80" s="60"/>
      <c r="FS80" s="60"/>
      <c r="FT80" s="60"/>
      <c r="FU80" s="60"/>
      <c r="FV80" s="56"/>
      <c r="FW80" s="64"/>
      <c r="FX80" s="64"/>
      <c r="FY80" s="64"/>
      <c r="FZ80" s="60"/>
      <c r="GA80" s="60"/>
      <c r="GB80" s="60"/>
      <c r="GC80" s="60"/>
      <c r="GD80" s="60"/>
      <c r="GE80" s="60"/>
      <c r="GF80" s="60"/>
      <c r="GG80" s="60"/>
      <c r="GH80" s="60"/>
      <c r="GI80" s="60"/>
      <c r="GJ80" s="60"/>
      <c r="GK80" s="60"/>
      <c r="GL80" s="60"/>
      <c r="GM80" s="60"/>
      <c r="GN80" s="60"/>
      <c r="GO80" s="60"/>
      <c r="GP80" s="56"/>
      <c r="GQ80" s="64"/>
      <c r="GR80" s="64"/>
      <c r="GS80" s="64"/>
      <c r="GT80" s="60"/>
      <c r="GU80" s="60"/>
      <c r="GV80" s="60"/>
      <c r="GW80" s="60"/>
      <c r="GX80" s="60"/>
      <c r="GY80" s="60"/>
      <c r="GZ80" s="62"/>
      <c r="HA80" s="62"/>
      <c r="HB80" s="62"/>
      <c r="HC80" s="62"/>
      <c r="HD80" s="62"/>
      <c r="HE80" s="62"/>
      <c r="HF80" s="62"/>
      <c r="HG80" s="62"/>
      <c r="HH80" s="62"/>
      <c r="HI80" s="62"/>
      <c r="HJ80" s="56"/>
      <c r="HK80" s="58"/>
      <c r="HL80" s="58"/>
      <c r="HM80" s="58"/>
      <c r="HN80" s="62"/>
      <c r="HO80" s="62"/>
      <c r="HP80" s="62"/>
      <c r="HQ80" s="62"/>
      <c r="HR80" s="62"/>
      <c r="HS80" s="62"/>
      <c r="HT80" s="62"/>
      <c r="HU80" s="62"/>
      <c r="HV80" s="62"/>
      <c r="HW80" s="62"/>
      <c r="HX80" s="62"/>
      <c r="HY80" s="62"/>
      <c r="HZ80" s="62"/>
      <c r="IA80" s="62"/>
      <c r="IB80" s="62"/>
      <c r="IC80" s="62"/>
      <c r="ID80" s="4"/>
      <c r="IF80" s="23"/>
      <c r="IG80" s="28"/>
      <c r="IH80" s="28" t="s">
        <v>98</v>
      </c>
      <c r="II80" s="29" t="str">
        <f t="shared" si="20"/>
        <v/>
      </c>
      <c r="IJ80" s="29" t="str">
        <f t="shared" si="21"/>
        <v>ColorNone</v>
      </c>
      <c r="IK80" s="8">
        <f t="shared" si="22"/>
        <v>0</v>
      </c>
      <c r="IL80" s="23"/>
    </row>
    <row r="81" spans="1:246" ht="14.25" thickBot="1" x14ac:dyDescent="0.2">
      <c r="A81" s="225"/>
      <c r="B81" s="74" t="s">
        <v>53</v>
      </c>
      <c r="C81" s="75" t="str">
        <f t="shared" si="5"/>
        <v/>
      </c>
      <c r="D81" s="104"/>
      <c r="E81" s="105"/>
      <c r="F81" s="106"/>
      <c r="G81" s="117"/>
      <c r="H81" s="107"/>
      <c r="I81" s="108"/>
      <c r="J81" s="109"/>
      <c r="K81" s="149" t="s">
        <v>105</v>
      </c>
      <c r="L81" s="161"/>
      <c r="M81" s="165"/>
      <c r="N81" s="162"/>
      <c r="O81" s="163"/>
      <c r="P81" s="170"/>
      <c r="Q81" s="76"/>
      <c r="R81" s="77"/>
      <c r="S81" s="78"/>
      <c r="T81" s="78"/>
      <c r="U81" s="78"/>
      <c r="V81" s="81"/>
      <c r="W81" s="79"/>
      <c r="X81" s="79"/>
      <c r="Y81" s="79"/>
      <c r="Z81" s="79"/>
      <c r="AA81" s="79"/>
      <c r="AB81" s="79"/>
      <c r="AC81" s="79"/>
      <c r="AD81" s="79"/>
      <c r="AE81" s="79"/>
      <c r="AF81" s="79"/>
      <c r="AG81" s="80"/>
      <c r="AH81" s="80"/>
      <c r="AI81" s="79"/>
      <c r="AJ81" s="79"/>
      <c r="AK81" s="79"/>
      <c r="AL81" s="77"/>
      <c r="AM81" s="78"/>
      <c r="AN81" s="78"/>
      <c r="AO81" s="78"/>
      <c r="AP81" s="80"/>
      <c r="AQ81" s="80"/>
      <c r="AR81" s="80"/>
      <c r="AS81" s="80"/>
      <c r="AT81" s="80"/>
      <c r="AU81" s="80"/>
      <c r="AV81" s="79"/>
      <c r="AW81" s="79"/>
      <c r="AX81" s="79"/>
      <c r="AY81" s="79"/>
      <c r="AZ81" s="79"/>
      <c r="BA81" s="79"/>
      <c r="BB81" s="79"/>
      <c r="BC81" s="79"/>
      <c r="BD81" s="79"/>
      <c r="BE81" s="79"/>
      <c r="BF81" s="77"/>
      <c r="BG81" s="78"/>
      <c r="BH81" s="78"/>
      <c r="BI81" s="78"/>
      <c r="BJ81" s="80"/>
      <c r="BK81" s="79"/>
      <c r="BL81" s="79"/>
      <c r="BM81" s="79"/>
      <c r="BN81" s="79"/>
      <c r="BO81" s="79"/>
      <c r="BP81" s="79"/>
      <c r="BQ81" s="79"/>
      <c r="BR81" s="79"/>
      <c r="BS81" s="79"/>
      <c r="BT81" s="79"/>
      <c r="BU81" s="79"/>
      <c r="BV81" s="79"/>
      <c r="BW81" s="79"/>
      <c r="BX81" s="79"/>
      <c r="BY81" s="79"/>
      <c r="BZ81" s="77"/>
      <c r="CA81" s="78"/>
      <c r="CB81" s="78"/>
      <c r="CC81" s="81"/>
      <c r="CD81" s="81"/>
      <c r="CE81" s="79"/>
      <c r="CF81" s="79"/>
      <c r="CG81" s="79"/>
      <c r="CH81" s="79"/>
      <c r="CI81" s="79"/>
      <c r="CJ81" s="79"/>
      <c r="CK81" s="79"/>
      <c r="CL81" s="79"/>
      <c r="CM81" s="79"/>
      <c r="CN81" s="79"/>
      <c r="CO81" s="79"/>
      <c r="CP81" s="79"/>
      <c r="CQ81" s="79"/>
      <c r="CR81" s="79"/>
      <c r="CS81" s="79"/>
      <c r="CT81" s="77"/>
      <c r="CU81" s="81"/>
      <c r="CV81" s="81"/>
      <c r="CW81" s="81"/>
      <c r="CX81" s="81"/>
      <c r="CY81" s="79"/>
      <c r="CZ81" s="79"/>
      <c r="DA81" s="79"/>
      <c r="DB81" s="79"/>
      <c r="DC81" s="79"/>
      <c r="DD81" s="79"/>
      <c r="DE81" s="79"/>
      <c r="DF81" s="79"/>
      <c r="DG81" s="79"/>
      <c r="DH81" s="79"/>
      <c r="DI81" s="79"/>
      <c r="DJ81" s="79"/>
      <c r="DK81" s="79"/>
      <c r="DL81" s="79"/>
      <c r="DM81" s="79"/>
      <c r="DN81" s="77"/>
      <c r="DO81" s="78"/>
      <c r="DP81" s="78"/>
      <c r="DQ81" s="81"/>
      <c r="DR81" s="79"/>
      <c r="DS81" s="79"/>
      <c r="DT81" s="79"/>
      <c r="DU81" s="79"/>
      <c r="DV81" s="79"/>
      <c r="DW81" s="79"/>
      <c r="DX81" s="79"/>
      <c r="DY81" s="79"/>
      <c r="DZ81" s="79"/>
      <c r="EA81" s="79"/>
      <c r="EB81" s="79"/>
      <c r="EC81" s="80"/>
      <c r="ED81" s="80"/>
      <c r="EE81" s="79"/>
      <c r="EF81" s="79"/>
      <c r="EG81" s="79"/>
      <c r="EH81" s="77"/>
      <c r="EI81" s="78"/>
      <c r="EJ81" s="78"/>
      <c r="EK81" s="81"/>
      <c r="EL81" s="79"/>
      <c r="EM81" s="79"/>
      <c r="EN81" s="79"/>
      <c r="EO81" s="79"/>
      <c r="EP81" s="79"/>
      <c r="EQ81" s="79"/>
      <c r="ER81" s="79"/>
      <c r="ES81" s="79"/>
      <c r="ET81" s="79"/>
      <c r="EU81" s="79"/>
      <c r="EV81" s="79"/>
      <c r="EW81" s="79"/>
      <c r="EX81" s="79"/>
      <c r="EY81" s="79"/>
      <c r="EZ81" s="79"/>
      <c r="FA81" s="79"/>
      <c r="FB81" s="77"/>
      <c r="FC81" s="81"/>
      <c r="FD81" s="81"/>
      <c r="FE81" s="81"/>
      <c r="FF81" s="79"/>
      <c r="FG81" s="79"/>
      <c r="FH81" s="79"/>
      <c r="FI81" s="79"/>
      <c r="FJ81" s="79"/>
      <c r="FK81" s="79"/>
      <c r="FL81" s="79"/>
      <c r="FM81" s="79"/>
      <c r="FN81" s="79"/>
      <c r="FO81" s="79"/>
      <c r="FP81" s="79"/>
      <c r="FQ81" s="79"/>
      <c r="FR81" s="79"/>
      <c r="FS81" s="79"/>
      <c r="FT81" s="79"/>
      <c r="FU81" s="79"/>
      <c r="FV81" s="77"/>
      <c r="FW81" s="81"/>
      <c r="FX81" s="81"/>
      <c r="FY81" s="81"/>
      <c r="FZ81" s="79"/>
      <c r="GA81" s="79"/>
      <c r="GB81" s="79"/>
      <c r="GC81" s="79"/>
      <c r="GD81" s="79"/>
      <c r="GE81" s="79"/>
      <c r="GF81" s="79"/>
      <c r="GG81" s="79"/>
      <c r="GH81" s="79"/>
      <c r="GI81" s="79"/>
      <c r="GJ81" s="79"/>
      <c r="GK81" s="79"/>
      <c r="GL81" s="79"/>
      <c r="GM81" s="79"/>
      <c r="GN81" s="79"/>
      <c r="GO81" s="79"/>
      <c r="GP81" s="77"/>
      <c r="GQ81" s="81"/>
      <c r="GR81" s="81"/>
      <c r="GS81" s="81"/>
      <c r="GT81" s="79"/>
      <c r="GU81" s="79"/>
      <c r="GV81" s="79"/>
      <c r="GW81" s="79"/>
      <c r="GX81" s="79"/>
      <c r="GY81" s="79"/>
      <c r="GZ81" s="80"/>
      <c r="HA81" s="80"/>
      <c r="HB81" s="80"/>
      <c r="HC81" s="80"/>
      <c r="HD81" s="80"/>
      <c r="HE81" s="80"/>
      <c r="HF81" s="80"/>
      <c r="HG81" s="80"/>
      <c r="HH81" s="80"/>
      <c r="HI81" s="80"/>
      <c r="HJ81" s="77"/>
      <c r="HK81" s="78"/>
      <c r="HL81" s="78"/>
      <c r="HM81" s="78"/>
      <c r="HN81" s="80"/>
      <c r="HO81" s="80"/>
      <c r="HP81" s="80"/>
      <c r="HQ81" s="80"/>
      <c r="HR81" s="80"/>
      <c r="HS81" s="80"/>
      <c r="HT81" s="80"/>
      <c r="HU81" s="80"/>
      <c r="HV81" s="80"/>
      <c r="HW81" s="80"/>
      <c r="HX81" s="80"/>
      <c r="HY81" s="80"/>
      <c r="HZ81" s="80"/>
      <c r="IA81" s="80"/>
      <c r="IB81" s="80"/>
      <c r="IC81" s="80"/>
      <c r="ID81" s="4"/>
      <c r="IF81" s="23"/>
      <c r="IG81" s="28"/>
      <c r="IH81" s="28" t="s">
        <v>98</v>
      </c>
      <c r="II81" s="29" t="str">
        <f t="shared" si="20"/>
        <v/>
      </c>
      <c r="IJ81" s="29" t="str">
        <f t="shared" si="21"/>
        <v>ColorNone</v>
      </c>
      <c r="IK81" s="9">
        <f t="shared" si="22"/>
        <v>0</v>
      </c>
      <c r="IL81" s="23"/>
    </row>
    <row r="82" spans="1:246" ht="2.25" customHeight="1" thickBot="1" x14ac:dyDescent="0.2">
      <c r="A82" s="73"/>
      <c r="B82" s="72"/>
      <c r="C82" s="71"/>
      <c r="D82" s="92"/>
      <c r="E82" s="92"/>
      <c r="F82" s="99"/>
      <c r="G82" s="100"/>
      <c r="H82" s="101"/>
      <c r="I82" s="102"/>
      <c r="J82" s="100"/>
      <c r="K82" s="148"/>
      <c r="L82" s="99"/>
      <c r="M82" s="100"/>
      <c r="N82" s="100"/>
      <c r="O82" s="102"/>
      <c r="P82" s="168"/>
      <c r="Q82" s="22"/>
      <c r="R82" s="56"/>
      <c r="S82" s="58"/>
      <c r="T82" s="58"/>
      <c r="U82" s="58"/>
      <c r="V82" s="64"/>
      <c r="W82" s="60"/>
      <c r="X82" s="60"/>
      <c r="Y82" s="60"/>
      <c r="Z82" s="60"/>
      <c r="AA82" s="60"/>
      <c r="AB82" s="60"/>
      <c r="AC82" s="60"/>
      <c r="AD82" s="60"/>
      <c r="AE82" s="60"/>
      <c r="AF82" s="60"/>
      <c r="AG82" s="62"/>
      <c r="AH82" s="62"/>
      <c r="AI82" s="60"/>
      <c r="AJ82" s="60"/>
      <c r="AK82" s="60"/>
      <c r="AL82" s="56"/>
      <c r="AM82" s="58"/>
      <c r="AN82" s="58"/>
      <c r="AO82" s="58"/>
      <c r="AP82" s="62"/>
      <c r="AQ82" s="62"/>
      <c r="AR82" s="62"/>
      <c r="AS82" s="62"/>
      <c r="AT82" s="62"/>
      <c r="AU82" s="62"/>
      <c r="AV82" s="60"/>
      <c r="AW82" s="60"/>
      <c r="AX82" s="60"/>
      <c r="AY82" s="60"/>
      <c r="AZ82" s="60"/>
      <c r="BA82" s="60"/>
      <c r="BB82" s="60"/>
      <c r="BC82" s="60"/>
      <c r="BD82" s="60"/>
      <c r="BE82" s="60"/>
      <c r="BF82" s="56"/>
      <c r="BG82" s="58"/>
      <c r="BH82" s="58"/>
      <c r="BI82" s="58"/>
      <c r="BJ82" s="62"/>
      <c r="BK82" s="60"/>
      <c r="BL82" s="60"/>
      <c r="BM82" s="60"/>
      <c r="BN82" s="60"/>
      <c r="BO82" s="60"/>
      <c r="BP82" s="60"/>
      <c r="BQ82" s="60"/>
      <c r="BR82" s="60"/>
      <c r="BS82" s="60"/>
      <c r="BT82" s="60"/>
      <c r="BU82" s="60"/>
      <c r="BV82" s="60"/>
      <c r="BW82" s="60"/>
      <c r="BX82" s="60"/>
      <c r="BY82" s="60"/>
      <c r="BZ82" s="56"/>
      <c r="CA82" s="58"/>
      <c r="CB82" s="58"/>
      <c r="CC82" s="64"/>
      <c r="CD82" s="64"/>
      <c r="CE82" s="60"/>
      <c r="CF82" s="60"/>
      <c r="CG82" s="60"/>
      <c r="CH82" s="60"/>
      <c r="CI82" s="60"/>
      <c r="CJ82" s="60"/>
      <c r="CK82" s="60"/>
      <c r="CL82" s="60"/>
      <c r="CM82" s="60"/>
      <c r="CN82" s="60"/>
      <c r="CO82" s="60"/>
      <c r="CP82" s="60"/>
      <c r="CQ82" s="60"/>
      <c r="CR82" s="60"/>
      <c r="CS82" s="60"/>
      <c r="CT82" s="56"/>
      <c r="CU82" s="64"/>
      <c r="CV82" s="64"/>
      <c r="CW82" s="64"/>
      <c r="CX82" s="64"/>
      <c r="CY82" s="60"/>
      <c r="CZ82" s="60"/>
      <c r="DA82" s="60"/>
      <c r="DB82" s="60"/>
      <c r="DC82" s="60"/>
      <c r="DD82" s="60"/>
      <c r="DE82" s="60"/>
      <c r="DF82" s="60"/>
      <c r="DG82" s="60"/>
      <c r="DH82" s="60"/>
      <c r="DI82" s="60"/>
      <c r="DJ82" s="60"/>
      <c r="DK82" s="60"/>
      <c r="DL82" s="60"/>
      <c r="DM82" s="60"/>
      <c r="DN82" s="56"/>
      <c r="DO82" s="58"/>
      <c r="DP82" s="58"/>
      <c r="DQ82" s="64"/>
      <c r="DR82" s="60"/>
      <c r="DS82" s="60"/>
      <c r="DT82" s="60"/>
      <c r="DU82" s="60"/>
      <c r="DV82" s="60"/>
      <c r="DW82" s="60"/>
      <c r="DX82" s="60"/>
      <c r="DY82" s="60"/>
      <c r="DZ82" s="60"/>
      <c r="EA82" s="60"/>
      <c r="EB82" s="60"/>
      <c r="EC82" s="62"/>
      <c r="ED82" s="62"/>
      <c r="EE82" s="60"/>
      <c r="EF82" s="60"/>
      <c r="EG82" s="60"/>
      <c r="EH82" s="56"/>
      <c r="EI82" s="58"/>
      <c r="EJ82" s="58"/>
      <c r="EK82" s="64"/>
      <c r="EL82" s="60"/>
      <c r="EM82" s="60"/>
      <c r="EN82" s="60"/>
      <c r="EO82" s="60"/>
      <c r="EP82" s="60"/>
      <c r="EQ82" s="60"/>
      <c r="ER82" s="60"/>
      <c r="ES82" s="60"/>
      <c r="ET82" s="60"/>
      <c r="EU82" s="60"/>
      <c r="EV82" s="60"/>
      <c r="EW82" s="60"/>
      <c r="EX82" s="60"/>
      <c r="EY82" s="60"/>
      <c r="EZ82" s="60"/>
      <c r="FA82" s="60"/>
      <c r="FB82" s="56"/>
      <c r="FC82" s="64"/>
      <c r="FD82" s="64"/>
      <c r="FE82" s="64"/>
      <c r="FF82" s="60"/>
      <c r="FG82" s="60"/>
      <c r="FH82" s="60"/>
      <c r="FI82" s="60"/>
      <c r="FJ82" s="60"/>
      <c r="FK82" s="60"/>
      <c r="FL82" s="60"/>
      <c r="FM82" s="60"/>
      <c r="FN82" s="60"/>
      <c r="FO82" s="60"/>
      <c r="FP82" s="60"/>
      <c r="FQ82" s="60"/>
      <c r="FR82" s="60"/>
      <c r="FS82" s="60"/>
      <c r="FT82" s="60"/>
      <c r="FU82" s="60"/>
      <c r="FV82" s="56"/>
      <c r="FW82" s="64"/>
      <c r="FX82" s="64"/>
      <c r="FY82" s="64"/>
      <c r="FZ82" s="60"/>
      <c r="GA82" s="60"/>
      <c r="GB82" s="60"/>
      <c r="GC82" s="60"/>
      <c r="GD82" s="60"/>
      <c r="GE82" s="60"/>
      <c r="GF82" s="60"/>
      <c r="GG82" s="60"/>
      <c r="GH82" s="60"/>
      <c r="GI82" s="60"/>
      <c r="GJ82" s="60"/>
      <c r="GK82" s="60"/>
      <c r="GL82" s="60"/>
      <c r="GM82" s="60"/>
      <c r="GN82" s="60"/>
      <c r="GO82" s="60"/>
      <c r="GP82" s="56"/>
      <c r="GQ82" s="64"/>
      <c r="GR82" s="64"/>
      <c r="GS82" s="64"/>
      <c r="GT82" s="60"/>
      <c r="GU82" s="60"/>
      <c r="GV82" s="60"/>
      <c r="GW82" s="60"/>
      <c r="GX82" s="60"/>
      <c r="GY82" s="60"/>
      <c r="GZ82" s="62"/>
      <c r="HA82" s="62"/>
      <c r="HB82" s="62"/>
      <c r="HC82" s="62"/>
      <c r="HD82" s="62"/>
      <c r="HE82" s="62"/>
      <c r="HF82" s="62"/>
      <c r="HG82" s="62"/>
      <c r="HH82" s="62"/>
      <c r="HI82" s="62"/>
      <c r="HJ82" s="56"/>
      <c r="HK82" s="58"/>
      <c r="HL82" s="58"/>
      <c r="HM82" s="58"/>
      <c r="HN82" s="62"/>
      <c r="HO82" s="62"/>
      <c r="HP82" s="62"/>
      <c r="HQ82" s="62"/>
      <c r="HR82" s="62"/>
      <c r="HS82" s="62"/>
      <c r="HT82" s="62"/>
      <c r="HU82" s="62"/>
      <c r="HV82" s="62"/>
      <c r="HW82" s="62"/>
      <c r="HX82" s="62"/>
      <c r="HY82" s="62"/>
      <c r="HZ82" s="62"/>
      <c r="IA82" s="62"/>
      <c r="IB82" s="62"/>
      <c r="IC82" s="62"/>
      <c r="ID82" s="4"/>
      <c r="IF82" s="23"/>
      <c r="IG82" s="28"/>
      <c r="IH82" s="28"/>
      <c r="II82" s="29"/>
      <c r="IJ82" s="121"/>
      <c r="IK82" s="70"/>
      <c r="IL82" s="23"/>
    </row>
    <row r="83" spans="1:246" ht="14.25" thickBot="1" x14ac:dyDescent="0.2">
      <c r="A83" s="222" t="s">
        <v>148</v>
      </c>
      <c r="B83" s="83" t="s">
        <v>39</v>
      </c>
      <c r="C83" s="69" t="str">
        <f>IF(P83=100,"*","")</f>
        <v/>
      </c>
      <c r="D83" s="110"/>
      <c r="E83" s="111"/>
      <c r="F83" s="116"/>
      <c r="G83" s="117"/>
      <c r="H83" s="117"/>
      <c r="I83" s="114"/>
      <c r="J83" s="115"/>
      <c r="K83" s="150" t="s">
        <v>105</v>
      </c>
      <c r="L83" s="164"/>
      <c r="M83" s="165"/>
      <c r="N83" s="165"/>
      <c r="O83" s="166"/>
      <c r="P83" s="171"/>
      <c r="Q83" s="84"/>
      <c r="R83" s="85"/>
      <c r="S83" s="86"/>
      <c r="T83" s="86"/>
      <c r="U83" s="86"/>
      <c r="V83" s="89"/>
      <c r="W83" s="87"/>
      <c r="X83" s="87"/>
      <c r="Y83" s="87"/>
      <c r="Z83" s="87"/>
      <c r="AA83" s="87"/>
      <c r="AB83" s="87"/>
      <c r="AC83" s="87"/>
      <c r="AD83" s="87"/>
      <c r="AE83" s="87"/>
      <c r="AF83" s="87"/>
      <c r="AG83" s="88"/>
      <c r="AH83" s="88"/>
      <c r="AI83" s="87"/>
      <c r="AJ83" s="87"/>
      <c r="AK83" s="87"/>
      <c r="AL83" s="85"/>
      <c r="AM83" s="86"/>
      <c r="AN83" s="86"/>
      <c r="AO83" s="86"/>
      <c r="AP83" s="88"/>
      <c r="AQ83" s="88"/>
      <c r="AR83" s="88"/>
      <c r="AS83" s="88"/>
      <c r="AT83" s="88"/>
      <c r="AU83" s="88"/>
      <c r="AV83" s="87"/>
      <c r="AW83" s="87"/>
      <c r="AX83" s="87"/>
      <c r="AY83" s="87"/>
      <c r="AZ83" s="87"/>
      <c r="BA83" s="87"/>
      <c r="BB83" s="87"/>
      <c r="BC83" s="87"/>
      <c r="BD83" s="87"/>
      <c r="BE83" s="87"/>
      <c r="BF83" s="85"/>
      <c r="BG83" s="86"/>
      <c r="BH83" s="86"/>
      <c r="BI83" s="86"/>
      <c r="BJ83" s="88"/>
      <c r="BK83" s="87"/>
      <c r="BL83" s="87"/>
      <c r="BM83" s="87"/>
      <c r="BN83" s="87"/>
      <c r="BO83" s="87"/>
      <c r="BP83" s="87"/>
      <c r="BQ83" s="87"/>
      <c r="BR83" s="87"/>
      <c r="BS83" s="87"/>
      <c r="BT83" s="87"/>
      <c r="BU83" s="87"/>
      <c r="BV83" s="87"/>
      <c r="BW83" s="87"/>
      <c r="BX83" s="87"/>
      <c r="BY83" s="87"/>
      <c r="BZ83" s="85"/>
      <c r="CA83" s="86"/>
      <c r="CB83" s="86"/>
      <c r="CC83" s="89"/>
      <c r="CD83" s="89"/>
      <c r="CE83" s="87"/>
      <c r="CF83" s="87"/>
      <c r="CG83" s="87"/>
      <c r="CH83" s="87"/>
      <c r="CI83" s="87"/>
      <c r="CJ83" s="87"/>
      <c r="CK83" s="87"/>
      <c r="CL83" s="87"/>
      <c r="CM83" s="87"/>
      <c r="CN83" s="87"/>
      <c r="CO83" s="87"/>
      <c r="CP83" s="87"/>
      <c r="CQ83" s="87"/>
      <c r="CR83" s="87"/>
      <c r="CS83" s="87"/>
      <c r="CT83" s="85"/>
      <c r="CU83" s="89"/>
      <c r="CV83" s="89"/>
      <c r="CW83" s="89"/>
      <c r="CX83" s="89"/>
      <c r="CY83" s="87"/>
      <c r="CZ83" s="87"/>
      <c r="DA83" s="87"/>
      <c r="DB83" s="87"/>
      <c r="DC83" s="87"/>
      <c r="DD83" s="87"/>
      <c r="DE83" s="87"/>
      <c r="DF83" s="87"/>
      <c r="DG83" s="87"/>
      <c r="DH83" s="87"/>
      <c r="DI83" s="87"/>
      <c r="DJ83" s="87"/>
      <c r="DK83" s="87"/>
      <c r="DL83" s="87"/>
      <c r="DM83" s="87"/>
      <c r="DN83" s="85"/>
      <c r="DO83" s="86"/>
      <c r="DP83" s="86"/>
      <c r="DQ83" s="89"/>
      <c r="DR83" s="87"/>
      <c r="DS83" s="87"/>
      <c r="DT83" s="87"/>
      <c r="DU83" s="87"/>
      <c r="DV83" s="87"/>
      <c r="DW83" s="87"/>
      <c r="DX83" s="87"/>
      <c r="DY83" s="87"/>
      <c r="DZ83" s="87"/>
      <c r="EA83" s="87"/>
      <c r="EB83" s="87"/>
      <c r="EC83" s="88"/>
      <c r="ED83" s="88"/>
      <c r="EE83" s="87"/>
      <c r="EF83" s="87"/>
      <c r="EG83" s="87"/>
      <c r="EH83" s="85"/>
      <c r="EI83" s="86"/>
      <c r="EJ83" s="86"/>
      <c r="EK83" s="89"/>
      <c r="EL83" s="87"/>
      <c r="EM83" s="87"/>
      <c r="EN83" s="87"/>
      <c r="EO83" s="87"/>
      <c r="EP83" s="87"/>
      <c r="EQ83" s="87"/>
      <c r="ER83" s="87"/>
      <c r="ES83" s="87"/>
      <c r="ET83" s="87"/>
      <c r="EU83" s="87"/>
      <c r="EV83" s="87"/>
      <c r="EW83" s="87"/>
      <c r="EX83" s="87"/>
      <c r="EY83" s="87"/>
      <c r="EZ83" s="87"/>
      <c r="FA83" s="87"/>
      <c r="FB83" s="85"/>
      <c r="FC83" s="89"/>
      <c r="FD83" s="89"/>
      <c r="FE83" s="89"/>
      <c r="FF83" s="87"/>
      <c r="FG83" s="87"/>
      <c r="FH83" s="87"/>
      <c r="FI83" s="87"/>
      <c r="FJ83" s="87"/>
      <c r="FK83" s="87"/>
      <c r="FL83" s="87"/>
      <c r="FM83" s="87"/>
      <c r="FN83" s="87"/>
      <c r="FO83" s="87"/>
      <c r="FP83" s="87"/>
      <c r="FQ83" s="87"/>
      <c r="FR83" s="87"/>
      <c r="FS83" s="87"/>
      <c r="FT83" s="87"/>
      <c r="FU83" s="87"/>
      <c r="FV83" s="85"/>
      <c r="FW83" s="89"/>
      <c r="FX83" s="89"/>
      <c r="FY83" s="89"/>
      <c r="FZ83" s="87"/>
      <c r="GA83" s="87"/>
      <c r="GB83" s="87"/>
      <c r="GC83" s="87"/>
      <c r="GD83" s="87"/>
      <c r="GE83" s="87"/>
      <c r="GF83" s="87"/>
      <c r="GG83" s="87"/>
      <c r="GH83" s="87"/>
      <c r="GI83" s="87"/>
      <c r="GJ83" s="87"/>
      <c r="GK83" s="87"/>
      <c r="GL83" s="87"/>
      <c r="GM83" s="87"/>
      <c r="GN83" s="87"/>
      <c r="GO83" s="87"/>
      <c r="GP83" s="85"/>
      <c r="GQ83" s="89"/>
      <c r="GR83" s="89"/>
      <c r="GS83" s="89"/>
      <c r="GT83" s="87"/>
      <c r="GU83" s="87"/>
      <c r="GV83" s="87"/>
      <c r="GW83" s="87"/>
      <c r="GX83" s="87"/>
      <c r="GY83" s="87"/>
      <c r="GZ83" s="88"/>
      <c r="HA83" s="88"/>
      <c r="HB83" s="88"/>
      <c r="HC83" s="88"/>
      <c r="HD83" s="88"/>
      <c r="HE83" s="88"/>
      <c r="HF83" s="88"/>
      <c r="HG83" s="88"/>
      <c r="HH83" s="88"/>
      <c r="HI83" s="88"/>
      <c r="HJ83" s="85"/>
      <c r="HK83" s="86"/>
      <c r="HL83" s="86"/>
      <c r="HM83" s="86"/>
      <c r="HN83" s="88"/>
      <c r="HO83" s="88"/>
      <c r="HP83" s="88"/>
      <c r="HQ83" s="88"/>
      <c r="HR83" s="88"/>
      <c r="HS83" s="88"/>
      <c r="HT83" s="88"/>
      <c r="HU83" s="88"/>
      <c r="HV83" s="88"/>
      <c r="HW83" s="88"/>
      <c r="HX83" s="88"/>
      <c r="HY83" s="88"/>
      <c r="HZ83" s="88"/>
      <c r="IA83" s="88"/>
      <c r="IB83" s="88"/>
      <c r="IC83" s="88"/>
      <c r="ID83" s="4"/>
      <c r="IF83" s="23"/>
      <c r="IG83" s="28"/>
      <c r="IH83" s="28" t="s">
        <v>99</v>
      </c>
      <c r="II83" s="29" t="str">
        <f t="shared" ref="II83:II92" si="23">IF(E83&lt;&gt;"",VLOOKUP(E83,$IM$12:$IN$20,2,FALSE),"")</f>
        <v/>
      </c>
      <c r="IJ83" s="29" t="str">
        <f t="shared" ref="IJ83:IJ92" si="24">IF(II83&lt;&gt;"","Color"&amp;II83, "ColorNone")</f>
        <v>ColorNone</v>
      </c>
      <c r="IK83" s="5">
        <f t="shared" ref="IK83:IK92" si="25">IF(O83="",I83,O83)</f>
        <v>0</v>
      </c>
      <c r="IL83" s="23"/>
    </row>
    <row r="84" spans="1:246" ht="14.25" thickBot="1" x14ac:dyDescent="0.2">
      <c r="A84" s="223"/>
      <c r="B84" s="6" t="s">
        <v>89</v>
      </c>
      <c r="C84" s="7" t="str">
        <f t="shared" si="5"/>
        <v/>
      </c>
      <c r="D84" s="91"/>
      <c r="E84" s="103"/>
      <c r="F84" s="97"/>
      <c r="G84" s="117"/>
      <c r="H84" s="98"/>
      <c r="I84" s="95"/>
      <c r="J84" s="96"/>
      <c r="K84" s="147" t="s">
        <v>105</v>
      </c>
      <c r="L84" s="158"/>
      <c r="M84" s="165"/>
      <c r="N84" s="159"/>
      <c r="O84" s="160"/>
      <c r="P84" s="169"/>
      <c r="Q84" s="21"/>
      <c r="R84" s="56"/>
      <c r="S84" s="58"/>
      <c r="T84" s="58"/>
      <c r="U84" s="58"/>
      <c r="V84" s="64"/>
      <c r="W84" s="60"/>
      <c r="X84" s="60"/>
      <c r="Y84" s="60"/>
      <c r="Z84" s="60"/>
      <c r="AA84" s="60"/>
      <c r="AB84" s="60"/>
      <c r="AC84" s="60"/>
      <c r="AD84" s="60"/>
      <c r="AE84" s="60"/>
      <c r="AF84" s="60"/>
      <c r="AG84" s="62"/>
      <c r="AH84" s="62"/>
      <c r="AI84" s="60"/>
      <c r="AJ84" s="60"/>
      <c r="AK84" s="60"/>
      <c r="AL84" s="56"/>
      <c r="AM84" s="58"/>
      <c r="AN84" s="58"/>
      <c r="AO84" s="58"/>
      <c r="AP84" s="62"/>
      <c r="AQ84" s="62"/>
      <c r="AR84" s="62"/>
      <c r="AS84" s="62"/>
      <c r="AT84" s="62"/>
      <c r="AU84" s="62"/>
      <c r="AV84" s="60"/>
      <c r="AW84" s="60"/>
      <c r="AX84" s="60"/>
      <c r="AY84" s="60"/>
      <c r="AZ84" s="60"/>
      <c r="BA84" s="60"/>
      <c r="BB84" s="60"/>
      <c r="BC84" s="60"/>
      <c r="BD84" s="60"/>
      <c r="BE84" s="60"/>
      <c r="BF84" s="56"/>
      <c r="BG84" s="58"/>
      <c r="BH84" s="58"/>
      <c r="BI84" s="58"/>
      <c r="BJ84" s="62"/>
      <c r="BK84" s="60"/>
      <c r="BL84" s="60"/>
      <c r="BM84" s="60"/>
      <c r="BN84" s="60"/>
      <c r="BO84" s="60"/>
      <c r="BP84" s="60"/>
      <c r="BQ84" s="60"/>
      <c r="BR84" s="60"/>
      <c r="BS84" s="60"/>
      <c r="BT84" s="60"/>
      <c r="BU84" s="60"/>
      <c r="BV84" s="60"/>
      <c r="BW84" s="60"/>
      <c r="BX84" s="60"/>
      <c r="BY84" s="60"/>
      <c r="BZ84" s="56"/>
      <c r="CA84" s="58"/>
      <c r="CB84" s="58"/>
      <c r="CC84" s="64"/>
      <c r="CD84" s="64"/>
      <c r="CE84" s="60"/>
      <c r="CF84" s="60"/>
      <c r="CG84" s="60"/>
      <c r="CH84" s="60"/>
      <c r="CI84" s="60"/>
      <c r="CJ84" s="60"/>
      <c r="CK84" s="60"/>
      <c r="CL84" s="60"/>
      <c r="CM84" s="60"/>
      <c r="CN84" s="60"/>
      <c r="CO84" s="60"/>
      <c r="CP84" s="60"/>
      <c r="CQ84" s="60"/>
      <c r="CR84" s="60"/>
      <c r="CS84" s="60"/>
      <c r="CT84" s="56"/>
      <c r="CU84" s="64"/>
      <c r="CV84" s="64"/>
      <c r="CW84" s="64"/>
      <c r="CX84" s="64"/>
      <c r="CY84" s="60"/>
      <c r="CZ84" s="60"/>
      <c r="DA84" s="60"/>
      <c r="DB84" s="60"/>
      <c r="DC84" s="60"/>
      <c r="DD84" s="60"/>
      <c r="DE84" s="60"/>
      <c r="DF84" s="60"/>
      <c r="DG84" s="60"/>
      <c r="DH84" s="60"/>
      <c r="DI84" s="60"/>
      <c r="DJ84" s="60"/>
      <c r="DK84" s="60"/>
      <c r="DL84" s="60"/>
      <c r="DM84" s="60"/>
      <c r="DN84" s="56"/>
      <c r="DO84" s="58"/>
      <c r="DP84" s="58"/>
      <c r="DQ84" s="64"/>
      <c r="DR84" s="60"/>
      <c r="DS84" s="60"/>
      <c r="DT84" s="60"/>
      <c r="DU84" s="60"/>
      <c r="DV84" s="60"/>
      <c r="DW84" s="60"/>
      <c r="DX84" s="60"/>
      <c r="DY84" s="60"/>
      <c r="DZ84" s="60"/>
      <c r="EA84" s="60"/>
      <c r="EB84" s="60"/>
      <c r="EC84" s="62"/>
      <c r="ED84" s="62"/>
      <c r="EE84" s="60"/>
      <c r="EF84" s="60"/>
      <c r="EG84" s="60"/>
      <c r="EH84" s="56"/>
      <c r="EI84" s="58"/>
      <c r="EJ84" s="58"/>
      <c r="EK84" s="64"/>
      <c r="EL84" s="60"/>
      <c r="EM84" s="60"/>
      <c r="EN84" s="60"/>
      <c r="EO84" s="60"/>
      <c r="EP84" s="60"/>
      <c r="EQ84" s="60"/>
      <c r="ER84" s="60"/>
      <c r="ES84" s="60"/>
      <c r="ET84" s="60"/>
      <c r="EU84" s="60"/>
      <c r="EV84" s="60"/>
      <c r="EW84" s="60"/>
      <c r="EX84" s="60"/>
      <c r="EY84" s="60"/>
      <c r="EZ84" s="60"/>
      <c r="FA84" s="60"/>
      <c r="FB84" s="56"/>
      <c r="FC84" s="64"/>
      <c r="FD84" s="64"/>
      <c r="FE84" s="64"/>
      <c r="FF84" s="60"/>
      <c r="FG84" s="60"/>
      <c r="FH84" s="60"/>
      <c r="FI84" s="60"/>
      <c r="FJ84" s="60"/>
      <c r="FK84" s="60"/>
      <c r="FL84" s="60"/>
      <c r="FM84" s="60"/>
      <c r="FN84" s="60"/>
      <c r="FO84" s="60"/>
      <c r="FP84" s="60"/>
      <c r="FQ84" s="60"/>
      <c r="FR84" s="60"/>
      <c r="FS84" s="60"/>
      <c r="FT84" s="60"/>
      <c r="FU84" s="60"/>
      <c r="FV84" s="56"/>
      <c r="FW84" s="64"/>
      <c r="FX84" s="64"/>
      <c r="FY84" s="64"/>
      <c r="FZ84" s="60"/>
      <c r="GA84" s="60"/>
      <c r="GB84" s="60"/>
      <c r="GC84" s="60"/>
      <c r="GD84" s="60"/>
      <c r="GE84" s="60"/>
      <c r="GF84" s="60"/>
      <c r="GG84" s="60"/>
      <c r="GH84" s="60"/>
      <c r="GI84" s="60"/>
      <c r="GJ84" s="60"/>
      <c r="GK84" s="60"/>
      <c r="GL84" s="60"/>
      <c r="GM84" s="60"/>
      <c r="GN84" s="60"/>
      <c r="GO84" s="60"/>
      <c r="GP84" s="56"/>
      <c r="GQ84" s="64"/>
      <c r="GR84" s="64"/>
      <c r="GS84" s="64"/>
      <c r="GT84" s="60"/>
      <c r="GU84" s="60"/>
      <c r="GV84" s="60"/>
      <c r="GW84" s="60"/>
      <c r="GX84" s="60"/>
      <c r="GY84" s="60"/>
      <c r="GZ84" s="62"/>
      <c r="HA84" s="62"/>
      <c r="HB84" s="62"/>
      <c r="HC84" s="62"/>
      <c r="HD84" s="62"/>
      <c r="HE84" s="62"/>
      <c r="HF84" s="62"/>
      <c r="HG84" s="62"/>
      <c r="HH84" s="62"/>
      <c r="HI84" s="62"/>
      <c r="HJ84" s="56"/>
      <c r="HK84" s="58"/>
      <c r="HL84" s="58"/>
      <c r="HM84" s="58"/>
      <c r="HN84" s="62"/>
      <c r="HO84" s="62"/>
      <c r="HP84" s="62"/>
      <c r="HQ84" s="62"/>
      <c r="HR84" s="62"/>
      <c r="HS84" s="62"/>
      <c r="HT84" s="62"/>
      <c r="HU84" s="62"/>
      <c r="HV84" s="62"/>
      <c r="HW84" s="62"/>
      <c r="HX84" s="62"/>
      <c r="HY84" s="62"/>
      <c r="HZ84" s="62"/>
      <c r="IA84" s="62"/>
      <c r="IB84" s="62"/>
      <c r="IC84" s="62"/>
      <c r="ID84" s="4"/>
      <c r="IF84" s="23"/>
      <c r="IG84" s="28"/>
      <c r="IH84" s="28" t="s">
        <v>99</v>
      </c>
      <c r="II84" s="29" t="str">
        <f t="shared" si="23"/>
        <v/>
      </c>
      <c r="IJ84" s="29" t="str">
        <f t="shared" si="24"/>
        <v>ColorNone</v>
      </c>
      <c r="IK84" s="8">
        <f t="shared" si="25"/>
        <v>0</v>
      </c>
      <c r="IL84" s="23"/>
    </row>
    <row r="85" spans="1:246" ht="14.25" thickBot="1" x14ac:dyDescent="0.2">
      <c r="A85" s="223"/>
      <c r="B85" s="6" t="s">
        <v>40</v>
      </c>
      <c r="C85" s="7" t="str">
        <f t="shared" si="5"/>
        <v/>
      </c>
      <c r="D85" s="91"/>
      <c r="E85" s="103"/>
      <c r="F85" s="97"/>
      <c r="G85" s="117"/>
      <c r="H85" s="98"/>
      <c r="I85" s="95"/>
      <c r="J85" s="96"/>
      <c r="K85" s="147" t="s">
        <v>105</v>
      </c>
      <c r="L85" s="158"/>
      <c r="M85" s="165"/>
      <c r="N85" s="159"/>
      <c r="O85" s="160"/>
      <c r="P85" s="169"/>
      <c r="Q85" s="21"/>
      <c r="R85" s="56"/>
      <c r="S85" s="58"/>
      <c r="T85" s="58"/>
      <c r="U85" s="58"/>
      <c r="V85" s="64"/>
      <c r="W85" s="60"/>
      <c r="X85" s="60"/>
      <c r="Y85" s="60"/>
      <c r="Z85" s="60"/>
      <c r="AA85" s="60"/>
      <c r="AB85" s="60"/>
      <c r="AC85" s="60"/>
      <c r="AD85" s="60"/>
      <c r="AE85" s="60"/>
      <c r="AF85" s="60"/>
      <c r="AG85" s="62"/>
      <c r="AH85" s="62"/>
      <c r="AI85" s="60"/>
      <c r="AJ85" s="60"/>
      <c r="AK85" s="60"/>
      <c r="AL85" s="56"/>
      <c r="AM85" s="58"/>
      <c r="AN85" s="58"/>
      <c r="AO85" s="58"/>
      <c r="AP85" s="62"/>
      <c r="AQ85" s="62"/>
      <c r="AR85" s="62"/>
      <c r="AS85" s="62"/>
      <c r="AT85" s="62"/>
      <c r="AU85" s="62"/>
      <c r="AV85" s="60"/>
      <c r="AW85" s="60"/>
      <c r="AX85" s="60"/>
      <c r="AY85" s="60"/>
      <c r="AZ85" s="60"/>
      <c r="BA85" s="60"/>
      <c r="BB85" s="60"/>
      <c r="BC85" s="60"/>
      <c r="BD85" s="60"/>
      <c r="BE85" s="60"/>
      <c r="BF85" s="56"/>
      <c r="BG85" s="58"/>
      <c r="BH85" s="58"/>
      <c r="BI85" s="58"/>
      <c r="BJ85" s="62"/>
      <c r="BK85" s="60"/>
      <c r="BL85" s="60"/>
      <c r="BM85" s="60"/>
      <c r="BN85" s="60"/>
      <c r="BO85" s="60"/>
      <c r="BP85" s="60"/>
      <c r="BQ85" s="60"/>
      <c r="BR85" s="60"/>
      <c r="BS85" s="60"/>
      <c r="BT85" s="60"/>
      <c r="BU85" s="60"/>
      <c r="BV85" s="60"/>
      <c r="BW85" s="60"/>
      <c r="BX85" s="60"/>
      <c r="BY85" s="60"/>
      <c r="BZ85" s="56"/>
      <c r="CA85" s="58"/>
      <c r="CB85" s="58"/>
      <c r="CC85" s="64"/>
      <c r="CD85" s="64"/>
      <c r="CE85" s="60"/>
      <c r="CF85" s="60"/>
      <c r="CG85" s="60"/>
      <c r="CH85" s="60"/>
      <c r="CI85" s="60"/>
      <c r="CJ85" s="60"/>
      <c r="CK85" s="60"/>
      <c r="CL85" s="60"/>
      <c r="CM85" s="60"/>
      <c r="CN85" s="60"/>
      <c r="CO85" s="60"/>
      <c r="CP85" s="60"/>
      <c r="CQ85" s="60"/>
      <c r="CR85" s="60"/>
      <c r="CS85" s="60"/>
      <c r="CT85" s="56"/>
      <c r="CU85" s="64"/>
      <c r="CV85" s="64"/>
      <c r="CW85" s="64"/>
      <c r="CX85" s="64"/>
      <c r="CY85" s="60"/>
      <c r="CZ85" s="60"/>
      <c r="DA85" s="60"/>
      <c r="DB85" s="60"/>
      <c r="DC85" s="60"/>
      <c r="DD85" s="60"/>
      <c r="DE85" s="60"/>
      <c r="DF85" s="60"/>
      <c r="DG85" s="60"/>
      <c r="DH85" s="60"/>
      <c r="DI85" s="60"/>
      <c r="DJ85" s="60"/>
      <c r="DK85" s="60"/>
      <c r="DL85" s="60"/>
      <c r="DM85" s="60"/>
      <c r="DN85" s="56"/>
      <c r="DO85" s="58"/>
      <c r="DP85" s="58"/>
      <c r="DQ85" s="64"/>
      <c r="DR85" s="60"/>
      <c r="DS85" s="60"/>
      <c r="DT85" s="60"/>
      <c r="DU85" s="60"/>
      <c r="DV85" s="60"/>
      <c r="DW85" s="60"/>
      <c r="DX85" s="60"/>
      <c r="DY85" s="60"/>
      <c r="DZ85" s="60"/>
      <c r="EA85" s="60"/>
      <c r="EB85" s="60"/>
      <c r="EC85" s="62"/>
      <c r="ED85" s="62"/>
      <c r="EE85" s="60"/>
      <c r="EF85" s="60"/>
      <c r="EG85" s="60"/>
      <c r="EH85" s="56"/>
      <c r="EI85" s="58"/>
      <c r="EJ85" s="58"/>
      <c r="EK85" s="64"/>
      <c r="EL85" s="60"/>
      <c r="EM85" s="60"/>
      <c r="EN85" s="60"/>
      <c r="EO85" s="60"/>
      <c r="EP85" s="60"/>
      <c r="EQ85" s="60"/>
      <c r="ER85" s="60"/>
      <c r="ES85" s="60"/>
      <c r="ET85" s="60"/>
      <c r="EU85" s="60"/>
      <c r="EV85" s="60"/>
      <c r="EW85" s="60"/>
      <c r="EX85" s="60"/>
      <c r="EY85" s="60"/>
      <c r="EZ85" s="60"/>
      <c r="FA85" s="60"/>
      <c r="FB85" s="56"/>
      <c r="FC85" s="64"/>
      <c r="FD85" s="64"/>
      <c r="FE85" s="64"/>
      <c r="FF85" s="60"/>
      <c r="FG85" s="60"/>
      <c r="FH85" s="60"/>
      <c r="FI85" s="60"/>
      <c r="FJ85" s="60"/>
      <c r="FK85" s="60"/>
      <c r="FL85" s="60"/>
      <c r="FM85" s="60"/>
      <c r="FN85" s="60"/>
      <c r="FO85" s="60"/>
      <c r="FP85" s="60"/>
      <c r="FQ85" s="60"/>
      <c r="FR85" s="60"/>
      <c r="FS85" s="60"/>
      <c r="FT85" s="60"/>
      <c r="FU85" s="60"/>
      <c r="FV85" s="56"/>
      <c r="FW85" s="64"/>
      <c r="FX85" s="64"/>
      <c r="FY85" s="64"/>
      <c r="FZ85" s="60"/>
      <c r="GA85" s="60"/>
      <c r="GB85" s="60"/>
      <c r="GC85" s="60"/>
      <c r="GD85" s="60"/>
      <c r="GE85" s="60"/>
      <c r="GF85" s="60"/>
      <c r="GG85" s="60"/>
      <c r="GH85" s="60"/>
      <c r="GI85" s="60"/>
      <c r="GJ85" s="60"/>
      <c r="GK85" s="60"/>
      <c r="GL85" s="60"/>
      <c r="GM85" s="60"/>
      <c r="GN85" s="60"/>
      <c r="GO85" s="60"/>
      <c r="GP85" s="56"/>
      <c r="GQ85" s="64"/>
      <c r="GR85" s="64"/>
      <c r="GS85" s="64"/>
      <c r="GT85" s="60"/>
      <c r="GU85" s="60"/>
      <c r="GV85" s="60"/>
      <c r="GW85" s="60"/>
      <c r="GX85" s="60"/>
      <c r="GY85" s="60"/>
      <c r="GZ85" s="62"/>
      <c r="HA85" s="62"/>
      <c r="HB85" s="62"/>
      <c r="HC85" s="62"/>
      <c r="HD85" s="62"/>
      <c r="HE85" s="62"/>
      <c r="HF85" s="62"/>
      <c r="HG85" s="62"/>
      <c r="HH85" s="62"/>
      <c r="HI85" s="62"/>
      <c r="HJ85" s="56"/>
      <c r="HK85" s="58"/>
      <c r="HL85" s="58"/>
      <c r="HM85" s="58"/>
      <c r="HN85" s="62"/>
      <c r="HO85" s="62"/>
      <c r="HP85" s="62"/>
      <c r="HQ85" s="62"/>
      <c r="HR85" s="62"/>
      <c r="HS85" s="62"/>
      <c r="HT85" s="62"/>
      <c r="HU85" s="62"/>
      <c r="HV85" s="62"/>
      <c r="HW85" s="62"/>
      <c r="HX85" s="62"/>
      <c r="HY85" s="62"/>
      <c r="HZ85" s="62"/>
      <c r="IA85" s="62"/>
      <c r="IB85" s="62"/>
      <c r="IC85" s="62"/>
      <c r="ID85" s="4"/>
      <c r="IF85" s="23"/>
      <c r="IG85" s="28"/>
      <c r="IH85" s="28" t="s">
        <v>99</v>
      </c>
      <c r="II85" s="29" t="str">
        <f t="shared" si="23"/>
        <v/>
      </c>
      <c r="IJ85" s="29" t="str">
        <f t="shared" si="24"/>
        <v>ColorNone</v>
      </c>
      <c r="IK85" s="8">
        <f t="shared" si="25"/>
        <v>0</v>
      </c>
      <c r="IL85" s="23"/>
    </row>
    <row r="86" spans="1:246" ht="14.25" thickBot="1" x14ac:dyDescent="0.2">
      <c r="A86" s="223"/>
      <c r="B86" s="6" t="s">
        <v>41</v>
      </c>
      <c r="C86" s="7" t="str">
        <f t="shared" si="5"/>
        <v/>
      </c>
      <c r="D86" s="91"/>
      <c r="E86" s="103"/>
      <c r="F86" s="97"/>
      <c r="G86" s="117"/>
      <c r="H86" s="98"/>
      <c r="I86" s="95"/>
      <c r="J86" s="96"/>
      <c r="K86" s="147" t="s">
        <v>105</v>
      </c>
      <c r="L86" s="158"/>
      <c r="M86" s="165"/>
      <c r="N86" s="159"/>
      <c r="O86" s="160"/>
      <c r="P86" s="169"/>
      <c r="Q86" s="21"/>
      <c r="R86" s="56"/>
      <c r="S86" s="58"/>
      <c r="T86" s="58"/>
      <c r="U86" s="58"/>
      <c r="V86" s="64"/>
      <c r="W86" s="60"/>
      <c r="X86" s="60"/>
      <c r="Y86" s="60"/>
      <c r="Z86" s="60"/>
      <c r="AA86" s="60"/>
      <c r="AB86" s="60"/>
      <c r="AC86" s="60"/>
      <c r="AD86" s="60"/>
      <c r="AE86" s="60"/>
      <c r="AF86" s="60"/>
      <c r="AG86" s="62"/>
      <c r="AH86" s="62"/>
      <c r="AI86" s="60"/>
      <c r="AJ86" s="60"/>
      <c r="AK86" s="60"/>
      <c r="AL86" s="56"/>
      <c r="AM86" s="58"/>
      <c r="AN86" s="58"/>
      <c r="AO86" s="58"/>
      <c r="AP86" s="62"/>
      <c r="AQ86" s="62"/>
      <c r="AR86" s="62"/>
      <c r="AS86" s="62"/>
      <c r="AT86" s="62"/>
      <c r="AU86" s="62"/>
      <c r="AV86" s="60"/>
      <c r="AW86" s="60"/>
      <c r="AX86" s="60"/>
      <c r="AY86" s="60"/>
      <c r="AZ86" s="60"/>
      <c r="BA86" s="60"/>
      <c r="BB86" s="60"/>
      <c r="BC86" s="60"/>
      <c r="BD86" s="60"/>
      <c r="BE86" s="60"/>
      <c r="BF86" s="56"/>
      <c r="BG86" s="58"/>
      <c r="BH86" s="58"/>
      <c r="BI86" s="58"/>
      <c r="BJ86" s="62"/>
      <c r="BK86" s="60"/>
      <c r="BL86" s="60"/>
      <c r="BM86" s="60"/>
      <c r="BN86" s="60"/>
      <c r="BO86" s="60"/>
      <c r="BP86" s="60"/>
      <c r="BQ86" s="60"/>
      <c r="BR86" s="60"/>
      <c r="BS86" s="60"/>
      <c r="BT86" s="60"/>
      <c r="BU86" s="60"/>
      <c r="BV86" s="60"/>
      <c r="BW86" s="60"/>
      <c r="BX86" s="60"/>
      <c r="BY86" s="60"/>
      <c r="BZ86" s="56"/>
      <c r="CA86" s="58"/>
      <c r="CB86" s="58"/>
      <c r="CC86" s="64"/>
      <c r="CD86" s="64"/>
      <c r="CE86" s="60"/>
      <c r="CF86" s="60"/>
      <c r="CG86" s="60"/>
      <c r="CH86" s="60"/>
      <c r="CI86" s="60"/>
      <c r="CJ86" s="60"/>
      <c r="CK86" s="60"/>
      <c r="CL86" s="60"/>
      <c r="CM86" s="60"/>
      <c r="CN86" s="60"/>
      <c r="CO86" s="60"/>
      <c r="CP86" s="60"/>
      <c r="CQ86" s="60"/>
      <c r="CR86" s="60"/>
      <c r="CS86" s="60"/>
      <c r="CT86" s="56"/>
      <c r="CU86" s="64"/>
      <c r="CV86" s="64"/>
      <c r="CW86" s="64"/>
      <c r="CX86" s="64"/>
      <c r="CY86" s="60"/>
      <c r="CZ86" s="60"/>
      <c r="DA86" s="60"/>
      <c r="DB86" s="60"/>
      <c r="DC86" s="60"/>
      <c r="DD86" s="60"/>
      <c r="DE86" s="60"/>
      <c r="DF86" s="60"/>
      <c r="DG86" s="60"/>
      <c r="DH86" s="60"/>
      <c r="DI86" s="60"/>
      <c r="DJ86" s="60"/>
      <c r="DK86" s="60"/>
      <c r="DL86" s="60"/>
      <c r="DM86" s="60"/>
      <c r="DN86" s="56"/>
      <c r="DO86" s="58"/>
      <c r="DP86" s="58"/>
      <c r="DQ86" s="64"/>
      <c r="DR86" s="60"/>
      <c r="DS86" s="60"/>
      <c r="DT86" s="60"/>
      <c r="DU86" s="60"/>
      <c r="DV86" s="60"/>
      <c r="DW86" s="60"/>
      <c r="DX86" s="60"/>
      <c r="DY86" s="60"/>
      <c r="DZ86" s="60"/>
      <c r="EA86" s="60"/>
      <c r="EB86" s="60"/>
      <c r="EC86" s="62"/>
      <c r="ED86" s="62"/>
      <c r="EE86" s="60"/>
      <c r="EF86" s="60"/>
      <c r="EG86" s="60"/>
      <c r="EH86" s="56"/>
      <c r="EI86" s="58"/>
      <c r="EJ86" s="58"/>
      <c r="EK86" s="64"/>
      <c r="EL86" s="60"/>
      <c r="EM86" s="60"/>
      <c r="EN86" s="60"/>
      <c r="EO86" s="60"/>
      <c r="EP86" s="60"/>
      <c r="EQ86" s="60"/>
      <c r="ER86" s="60"/>
      <c r="ES86" s="60"/>
      <c r="ET86" s="60"/>
      <c r="EU86" s="60"/>
      <c r="EV86" s="60"/>
      <c r="EW86" s="60"/>
      <c r="EX86" s="60"/>
      <c r="EY86" s="60"/>
      <c r="EZ86" s="60"/>
      <c r="FA86" s="60"/>
      <c r="FB86" s="56"/>
      <c r="FC86" s="64"/>
      <c r="FD86" s="64"/>
      <c r="FE86" s="64"/>
      <c r="FF86" s="60"/>
      <c r="FG86" s="60"/>
      <c r="FH86" s="60"/>
      <c r="FI86" s="60"/>
      <c r="FJ86" s="60"/>
      <c r="FK86" s="60"/>
      <c r="FL86" s="60"/>
      <c r="FM86" s="60"/>
      <c r="FN86" s="60"/>
      <c r="FO86" s="60"/>
      <c r="FP86" s="60"/>
      <c r="FQ86" s="60"/>
      <c r="FR86" s="60"/>
      <c r="FS86" s="60"/>
      <c r="FT86" s="60"/>
      <c r="FU86" s="60"/>
      <c r="FV86" s="56"/>
      <c r="FW86" s="64"/>
      <c r="FX86" s="64"/>
      <c r="FY86" s="64"/>
      <c r="FZ86" s="60"/>
      <c r="GA86" s="60"/>
      <c r="GB86" s="60"/>
      <c r="GC86" s="60"/>
      <c r="GD86" s="60"/>
      <c r="GE86" s="60"/>
      <c r="GF86" s="60"/>
      <c r="GG86" s="60"/>
      <c r="GH86" s="60"/>
      <c r="GI86" s="60"/>
      <c r="GJ86" s="60"/>
      <c r="GK86" s="60"/>
      <c r="GL86" s="60"/>
      <c r="GM86" s="60"/>
      <c r="GN86" s="60"/>
      <c r="GO86" s="60"/>
      <c r="GP86" s="56"/>
      <c r="GQ86" s="64"/>
      <c r="GR86" s="64"/>
      <c r="GS86" s="64"/>
      <c r="GT86" s="60"/>
      <c r="GU86" s="60"/>
      <c r="GV86" s="60"/>
      <c r="GW86" s="60"/>
      <c r="GX86" s="60"/>
      <c r="GY86" s="60"/>
      <c r="GZ86" s="62"/>
      <c r="HA86" s="62"/>
      <c r="HB86" s="62"/>
      <c r="HC86" s="62"/>
      <c r="HD86" s="62"/>
      <c r="HE86" s="62"/>
      <c r="HF86" s="62"/>
      <c r="HG86" s="62"/>
      <c r="HH86" s="62"/>
      <c r="HI86" s="62"/>
      <c r="HJ86" s="56"/>
      <c r="HK86" s="58"/>
      <c r="HL86" s="58"/>
      <c r="HM86" s="58"/>
      <c r="HN86" s="62"/>
      <c r="HO86" s="62"/>
      <c r="HP86" s="62"/>
      <c r="HQ86" s="62"/>
      <c r="HR86" s="62"/>
      <c r="HS86" s="62"/>
      <c r="HT86" s="62"/>
      <c r="HU86" s="62"/>
      <c r="HV86" s="62"/>
      <c r="HW86" s="62"/>
      <c r="HX86" s="62"/>
      <c r="HY86" s="62"/>
      <c r="HZ86" s="62"/>
      <c r="IA86" s="62"/>
      <c r="IB86" s="62"/>
      <c r="IC86" s="62"/>
      <c r="ID86" s="4"/>
      <c r="IF86" s="23"/>
      <c r="IG86" s="28"/>
      <c r="IH86" s="28" t="s">
        <v>99</v>
      </c>
      <c r="II86" s="29" t="str">
        <f t="shared" si="23"/>
        <v/>
      </c>
      <c r="IJ86" s="29" t="str">
        <f t="shared" si="24"/>
        <v>ColorNone</v>
      </c>
      <c r="IK86" s="8">
        <f t="shared" si="25"/>
        <v>0</v>
      </c>
      <c r="IL86" s="23"/>
    </row>
    <row r="87" spans="1:246" ht="14.25" thickBot="1" x14ac:dyDescent="0.2">
      <c r="A87" s="223"/>
      <c r="B87" s="6" t="s">
        <v>42</v>
      </c>
      <c r="C87" s="7" t="str">
        <f t="shared" si="5"/>
        <v/>
      </c>
      <c r="D87" s="91"/>
      <c r="E87" s="103"/>
      <c r="F87" s="97"/>
      <c r="G87" s="117"/>
      <c r="H87" s="98"/>
      <c r="I87" s="95"/>
      <c r="J87" s="96"/>
      <c r="K87" s="147" t="s">
        <v>105</v>
      </c>
      <c r="L87" s="158"/>
      <c r="M87" s="165"/>
      <c r="N87" s="159"/>
      <c r="O87" s="160"/>
      <c r="P87" s="169"/>
      <c r="Q87" s="21"/>
      <c r="R87" s="56"/>
      <c r="S87" s="58"/>
      <c r="T87" s="58"/>
      <c r="U87" s="58"/>
      <c r="V87" s="64"/>
      <c r="W87" s="60"/>
      <c r="X87" s="60"/>
      <c r="Y87" s="60"/>
      <c r="Z87" s="60"/>
      <c r="AA87" s="60"/>
      <c r="AB87" s="60"/>
      <c r="AC87" s="60"/>
      <c r="AD87" s="60"/>
      <c r="AE87" s="60"/>
      <c r="AF87" s="60"/>
      <c r="AG87" s="62"/>
      <c r="AH87" s="62"/>
      <c r="AI87" s="60"/>
      <c r="AJ87" s="60"/>
      <c r="AK87" s="60"/>
      <c r="AL87" s="56"/>
      <c r="AM87" s="58"/>
      <c r="AN87" s="58"/>
      <c r="AO87" s="58"/>
      <c r="AP87" s="62"/>
      <c r="AQ87" s="62"/>
      <c r="AR87" s="62"/>
      <c r="AS87" s="62"/>
      <c r="AT87" s="62"/>
      <c r="AU87" s="62"/>
      <c r="AV87" s="60"/>
      <c r="AW87" s="60"/>
      <c r="AX87" s="60"/>
      <c r="AY87" s="60"/>
      <c r="AZ87" s="60"/>
      <c r="BA87" s="60"/>
      <c r="BB87" s="60"/>
      <c r="BC87" s="60"/>
      <c r="BD87" s="60"/>
      <c r="BE87" s="60"/>
      <c r="BF87" s="56"/>
      <c r="BG87" s="58"/>
      <c r="BH87" s="58"/>
      <c r="BI87" s="58"/>
      <c r="BJ87" s="62"/>
      <c r="BK87" s="60"/>
      <c r="BL87" s="60"/>
      <c r="BM87" s="60"/>
      <c r="BN87" s="60"/>
      <c r="BO87" s="60"/>
      <c r="BP87" s="60"/>
      <c r="BQ87" s="60"/>
      <c r="BR87" s="60"/>
      <c r="BS87" s="60"/>
      <c r="BT87" s="60"/>
      <c r="BU87" s="60"/>
      <c r="BV87" s="60"/>
      <c r="BW87" s="60"/>
      <c r="BX87" s="60"/>
      <c r="BY87" s="60"/>
      <c r="BZ87" s="56"/>
      <c r="CA87" s="58"/>
      <c r="CB87" s="58"/>
      <c r="CC87" s="64"/>
      <c r="CD87" s="64"/>
      <c r="CE87" s="60"/>
      <c r="CF87" s="60"/>
      <c r="CG87" s="60"/>
      <c r="CH87" s="60"/>
      <c r="CI87" s="60"/>
      <c r="CJ87" s="60"/>
      <c r="CK87" s="60"/>
      <c r="CL87" s="60"/>
      <c r="CM87" s="60"/>
      <c r="CN87" s="60"/>
      <c r="CO87" s="60"/>
      <c r="CP87" s="60"/>
      <c r="CQ87" s="60"/>
      <c r="CR87" s="60"/>
      <c r="CS87" s="60"/>
      <c r="CT87" s="56"/>
      <c r="CU87" s="64"/>
      <c r="CV87" s="64"/>
      <c r="CW87" s="64"/>
      <c r="CX87" s="64"/>
      <c r="CY87" s="60"/>
      <c r="CZ87" s="60"/>
      <c r="DA87" s="60"/>
      <c r="DB87" s="60"/>
      <c r="DC87" s="60"/>
      <c r="DD87" s="60"/>
      <c r="DE87" s="60"/>
      <c r="DF87" s="60"/>
      <c r="DG87" s="60"/>
      <c r="DH87" s="60"/>
      <c r="DI87" s="60"/>
      <c r="DJ87" s="60"/>
      <c r="DK87" s="60"/>
      <c r="DL87" s="60"/>
      <c r="DM87" s="60"/>
      <c r="DN87" s="56"/>
      <c r="DO87" s="58"/>
      <c r="DP87" s="58"/>
      <c r="DQ87" s="64"/>
      <c r="DR87" s="60"/>
      <c r="DS87" s="60"/>
      <c r="DT87" s="60"/>
      <c r="DU87" s="60"/>
      <c r="DV87" s="60"/>
      <c r="DW87" s="60"/>
      <c r="DX87" s="60"/>
      <c r="DY87" s="60"/>
      <c r="DZ87" s="60"/>
      <c r="EA87" s="60"/>
      <c r="EB87" s="60"/>
      <c r="EC87" s="62"/>
      <c r="ED87" s="62"/>
      <c r="EE87" s="60"/>
      <c r="EF87" s="60"/>
      <c r="EG87" s="60"/>
      <c r="EH87" s="56"/>
      <c r="EI87" s="58"/>
      <c r="EJ87" s="58"/>
      <c r="EK87" s="64"/>
      <c r="EL87" s="60"/>
      <c r="EM87" s="60"/>
      <c r="EN87" s="60"/>
      <c r="EO87" s="60"/>
      <c r="EP87" s="60"/>
      <c r="EQ87" s="60"/>
      <c r="ER87" s="60"/>
      <c r="ES87" s="60"/>
      <c r="ET87" s="60"/>
      <c r="EU87" s="60"/>
      <c r="EV87" s="60"/>
      <c r="EW87" s="60"/>
      <c r="EX87" s="60"/>
      <c r="EY87" s="60"/>
      <c r="EZ87" s="60"/>
      <c r="FA87" s="60"/>
      <c r="FB87" s="56"/>
      <c r="FC87" s="64"/>
      <c r="FD87" s="64"/>
      <c r="FE87" s="64"/>
      <c r="FF87" s="60"/>
      <c r="FG87" s="60"/>
      <c r="FH87" s="60"/>
      <c r="FI87" s="60"/>
      <c r="FJ87" s="60"/>
      <c r="FK87" s="60"/>
      <c r="FL87" s="60"/>
      <c r="FM87" s="60"/>
      <c r="FN87" s="60"/>
      <c r="FO87" s="60"/>
      <c r="FP87" s="60"/>
      <c r="FQ87" s="60"/>
      <c r="FR87" s="60"/>
      <c r="FS87" s="60"/>
      <c r="FT87" s="60"/>
      <c r="FU87" s="60"/>
      <c r="FV87" s="56"/>
      <c r="FW87" s="64"/>
      <c r="FX87" s="64"/>
      <c r="FY87" s="64"/>
      <c r="FZ87" s="60"/>
      <c r="GA87" s="60"/>
      <c r="GB87" s="60"/>
      <c r="GC87" s="60"/>
      <c r="GD87" s="60"/>
      <c r="GE87" s="60"/>
      <c r="GF87" s="60"/>
      <c r="GG87" s="60"/>
      <c r="GH87" s="60"/>
      <c r="GI87" s="60"/>
      <c r="GJ87" s="60"/>
      <c r="GK87" s="60"/>
      <c r="GL87" s="60"/>
      <c r="GM87" s="60"/>
      <c r="GN87" s="60"/>
      <c r="GO87" s="60"/>
      <c r="GP87" s="56"/>
      <c r="GQ87" s="64"/>
      <c r="GR87" s="64"/>
      <c r="GS87" s="64"/>
      <c r="GT87" s="60"/>
      <c r="GU87" s="60"/>
      <c r="GV87" s="60"/>
      <c r="GW87" s="60"/>
      <c r="GX87" s="60"/>
      <c r="GY87" s="60"/>
      <c r="GZ87" s="62"/>
      <c r="HA87" s="62"/>
      <c r="HB87" s="62"/>
      <c r="HC87" s="62"/>
      <c r="HD87" s="62"/>
      <c r="HE87" s="62"/>
      <c r="HF87" s="62"/>
      <c r="HG87" s="62"/>
      <c r="HH87" s="62"/>
      <c r="HI87" s="62"/>
      <c r="HJ87" s="56"/>
      <c r="HK87" s="58"/>
      <c r="HL87" s="58"/>
      <c r="HM87" s="58"/>
      <c r="HN87" s="62"/>
      <c r="HO87" s="62"/>
      <c r="HP87" s="62"/>
      <c r="HQ87" s="62"/>
      <c r="HR87" s="62"/>
      <c r="HS87" s="62"/>
      <c r="HT87" s="62"/>
      <c r="HU87" s="62"/>
      <c r="HV87" s="62"/>
      <c r="HW87" s="62"/>
      <c r="HX87" s="62"/>
      <c r="HY87" s="62"/>
      <c r="HZ87" s="62"/>
      <c r="IA87" s="62"/>
      <c r="IB87" s="62"/>
      <c r="IC87" s="62"/>
      <c r="ID87" s="4"/>
      <c r="IF87" s="23"/>
      <c r="IG87" s="28"/>
      <c r="IH87" s="28" t="s">
        <v>99</v>
      </c>
      <c r="II87" s="29" t="str">
        <f t="shared" si="23"/>
        <v/>
      </c>
      <c r="IJ87" s="29" t="str">
        <f t="shared" si="24"/>
        <v>ColorNone</v>
      </c>
      <c r="IK87" s="8">
        <f t="shared" si="25"/>
        <v>0</v>
      </c>
      <c r="IL87" s="23"/>
    </row>
    <row r="88" spans="1:246" ht="14.25" thickBot="1" x14ac:dyDescent="0.2">
      <c r="A88" s="223"/>
      <c r="B88" s="6" t="s">
        <v>43</v>
      </c>
      <c r="C88" s="7" t="str">
        <f t="shared" si="5"/>
        <v/>
      </c>
      <c r="D88" s="91"/>
      <c r="E88" s="103"/>
      <c r="F88" s="97"/>
      <c r="G88" s="117"/>
      <c r="H88" s="98"/>
      <c r="I88" s="95"/>
      <c r="J88" s="96"/>
      <c r="K88" s="147" t="s">
        <v>105</v>
      </c>
      <c r="L88" s="158"/>
      <c r="M88" s="165"/>
      <c r="N88" s="159"/>
      <c r="O88" s="160"/>
      <c r="P88" s="169"/>
      <c r="Q88" s="21"/>
      <c r="R88" s="56"/>
      <c r="S88" s="58"/>
      <c r="T88" s="58"/>
      <c r="U88" s="58"/>
      <c r="V88" s="64"/>
      <c r="W88" s="60"/>
      <c r="X88" s="60"/>
      <c r="Y88" s="60"/>
      <c r="Z88" s="60"/>
      <c r="AA88" s="60"/>
      <c r="AB88" s="60"/>
      <c r="AC88" s="60"/>
      <c r="AD88" s="60"/>
      <c r="AE88" s="60"/>
      <c r="AF88" s="60"/>
      <c r="AG88" s="62"/>
      <c r="AH88" s="62"/>
      <c r="AI88" s="60"/>
      <c r="AJ88" s="60"/>
      <c r="AK88" s="60"/>
      <c r="AL88" s="56"/>
      <c r="AM88" s="58"/>
      <c r="AN88" s="58"/>
      <c r="AO88" s="58"/>
      <c r="AP88" s="62"/>
      <c r="AQ88" s="62"/>
      <c r="AR88" s="62"/>
      <c r="AS88" s="62"/>
      <c r="AT88" s="62"/>
      <c r="AU88" s="62"/>
      <c r="AV88" s="60"/>
      <c r="AW88" s="60"/>
      <c r="AX88" s="60"/>
      <c r="AY88" s="60"/>
      <c r="AZ88" s="60"/>
      <c r="BA88" s="60"/>
      <c r="BB88" s="60"/>
      <c r="BC88" s="60"/>
      <c r="BD88" s="60"/>
      <c r="BE88" s="60"/>
      <c r="BF88" s="56"/>
      <c r="BG88" s="58"/>
      <c r="BH88" s="58"/>
      <c r="BI88" s="58"/>
      <c r="BJ88" s="62"/>
      <c r="BK88" s="60"/>
      <c r="BL88" s="60"/>
      <c r="BM88" s="60"/>
      <c r="BN88" s="60"/>
      <c r="BO88" s="60"/>
      <c r="BP88" s="60"/>
      <c r="BQ88" s="60"/>
      <c r="BR88" s="60"/>
      <c r="BS88" s="60"/>
      <c r="BT88" s="60"/>
      <c r="BU88" s="60"/>
      <c r="BV88" s="60"/>
      <c r="BW88" s="60"/>
      <c r="BX88" s="60"/>
      <c r="BY88" s="60"/>
      <c r="BZ88" s="56"/>
      <c r="CA88" s="58"/>
      <c r="CB88" s="58"/>
      <c r="CC88" s="64"/>
      <c r="CD88" s="64"/>
      <c r="CE88" s="60"/>
      <c r="CF88" s="60"/>
      <c r="CG88" s="60"/>
      <c r="CH88" s="60"/>
      <c r="CI88" s="60"/>
      <c r="CJ88" s="60"/>
      <c r="CK88" s="60"/>
      <c r="CL88" s="60"/>
      <c r="CM88" s="60"/>
      <c r="CN88" s="60"/>
      <c r="CO88" s="60"/>
      <c r="CP88" s="60"/>
      <c r="CQ88" s="60"/>
      <c r="CR88" s="60"/>
      <c r="CS88" s="60"/>
      <c r="CT88" s="56"/>
      <c r="CU88" s="64"/>
      <c r="CV88" s="64"/>
      <c r="CW88" s="64"/>
      <c r="CX88" s="64"/>
      <c r="CY88" s="60"/>
      <c r="CZ88" s="60"/>
      <c r="DA88" s="60"/>
      <c r="DB88" s="60"/>
      <c r="DC88" s="60"/>
      <c r="DD88" s="60"/>
      <c r="DE88" s="60"/>
      <c r="DF88" s="60"/>
      <c r="DG88" s="60"/>
      <c r="DH88" s="60"/>
      <c r="DI88" s="60"/>
      <c r="DJ88" s="60"/>
      <c r="DK88" s="60"/>
      <c r="DL88" s="60"/>
      <c r="DM88" s="60"/>
      <c r="DN88" s="56"/>
      <c r="DO88" s="58"/>
      <c r="DP88" s="58"/>
      <c r="DQ88" s="64"/>
      <c r="DR88" s="60"/>
      <c r="DS88" s="60"/>
      <c r="DT88" s="60"/>
      <c r="DU88" s="60"/>
      <c r="DV88" s="60"/>
      <c r="DW88" s="60"/>
      <c r="DX88" s="60"/>
      <c r="DY88" s="60"/>
      <c r="DZ88" s="60"/>
      <c r="EA88" s="60"/>
      <c r="EB88" s="60"/>
      <c r="EC88" s="62"/>
      <c r="ED88" s="62"/>
      <c r="EE88" s="60"/>
      <c r="EF88" s="60"/>
      <c r="EG88" s="60"/>
      <c r="EH88" s="56"/>
      <c r="EI88" s="58"/>
      <c r="EJ88" s="58"/>
      <c r="EK88" s="64"/>
      <c r="EL88" s="60"/>
      <c r="EM88" s="60"/>
      <c r="EN88" s="60"/>
      <c r="EO88" s="60"/>
      <c r="EP88" s="60"/>
      <c r="EQ88" s="60"/>
      <c r="ER88" s="60"/>
      <c r="ES88" s="60"/>
      <c r="ET88" s="60"/>
      <c r="EU88" s="60"/>
      <c r="EV88" s="60"/>
      <c r="EW88" s="60"/>
      <c r="EX88" s="60"/>
      <c r="EY88" s="60"/>
      <c r="EZ88" s="60"/>
      <c r="FA88" s="60"/>
      <c r="FB88" s="56"/>
      <c r="FC88" s="64"/>
      <c r="FD88" s="64"/>
      <c r="FE88" s="64"/>
      <c r="FF88" s="60"/>
      <c r="FG88" s="60"/>
      <c r="FH88" s="60"/>
      <c r="FI88" s="60"/>
      <c r="FJ88" s="60"/>
      <c r="FK88" s="60"/>
      <c r="FL88" s="60"/>
      <c r="FM88" s="60"/>
      <c r="FN88" s="60"/>
      <c r="FO88" s="60"/>
      <c r="FP88" s="60"/>
      <c r="FQ88" s="60"/>
      <c r="FR88" s="60"/>
      <c r="FS88" s="60"/>
      <c r="FT88" s="60"/>
      <c r="FU88" s="60"/>
      <c r="FV88" s="56"/>
      <c r="FW88" s="64"/>
      <c r="FX88" s="64"/>
      <c r="FY88" s="64"/>
      <c r="FZ88" s="60"/>
      <c r="GA88" s="60"/>
      <c r="GB88" s="60"/>
      <c r="GC88" s="60"/>
      <c r="GD88" s="60"/>
      <c r="GE88" s="60"/>
      <c r="GF88" s="60"/>
      <c r="GG88" s="60"/>
      <c r="GH88" s="60"/>
      <c r="GI88" s="60"/>
      <c r="GJ88" s="60"/>
      <c r="GK88" s="60"/>
      <c r="GL88" s="60"/>
      <c r="GM88" s="60"/>
      <c r="GN88" s="60"/>
      <c r="GO88" s="60"/>
      <c r="GP88" s="56"/>
      <c r="GQ88" s="64"/>
      <c r="GR88" s="64"/>
      <c r="GS88" s="64"/>
      <c r="GT88" s="60"/>
      <c r="GU88" s="60"/>
      <c r="GV88" s="60"/>
      <c r="GW88" s="60"/>
      <c r="GX88" s="60"/>
      <c r="GY88" s="60"/>
      <c r="GZ88" s="62"/>
      <c r="HA88" s="62"/>
      <c r="HB88" s="62"/>
      <c r="HC88" s="62"/>
      <c r="HD88" s="62"/>
      <c r="HE88" s="62"/>
      <c r="HF88" s="62"/>
      <c r="HG88" s="62"/>
      <c r="HH88" s="62"/>
      <c r="HI88" s="62"/>
      <c r="HJ88" s="56"/>
      <c r="HK88" s="58"/>
      <c r="HL88" s="58"/>
      <c r="HM88" s="58"/>
      <c r="HN88" s="62"/>
      <c r="HO88" s="62"/>
      <c r="HP88" s="62"/>
      <c r="HQ88" s="62"/>
      <c r="HR88" s="62"/>
      <c r="HS88" s="62"/>
      <c r="HT88" s="62"/>
      <c r="HU88" s="62"/>
      <c r="HV88" s="62"/>
      <c r="HW88" s="62"/>
      <c r="HX88" s="62"/>
      <c r="HY88" s="62"/>
      <c r="HZ88" s="62"/>
      <c r="IA88" s="62"/>
      <c r="IB88" s="62"/>
      <c r="IC88" s="62"/>
      <c r="ID88" s="4"/>
      <c r="IF88" s="23"/>
      <c r="IG88" s="28"/>
      <c r="IH88" s="28" t="s">
        <v>99</v>
      </c>
      <c r="II88" s="29" t="str">
        <f t="shared" si="23"/>
        <v/>
      </c>
      <c r="IJ88" s="29" t="str">
        <f t="shared" si="24"/>
        <v>ColorNone</v>
      </c>
      <c r="IK88" s="8">
        <f t="shared" si="25"/>
        <v>0</v>
      </c>
      <c r="IL88" s="23"/>
    </row>
    <row r="89" spans="1:246" ht="14.25" thickBot="1" x14ac:dyDescent="0.2">
      <c r="A89" s="223"/>
      <c r="B89" s="6" t="s">
        <v>90</v>
      </c>
      <c r="C89" s="7" t="str">
        <f t="shared" si="5"/>
        <v/>
      </c>
      <c r="D89" s="91"/>
      <c r="E89" s="103"/>
      <c r="F89" s="97"/>
      <c r="G89" s="117"/>
      <c r="H89" s="98"/>
      <c r="I89" s="95"/>
      <c r="J89" s="96"/>
      <c r="K89" s="147" t="s">
        <v>105</v>
      </c>
      <c r="L89" s="158"/>
      <c r="M89" s="165"/>
      <c r="N89" s="159"/>
      <c r="O89" s="160"/>
      <c r="P89" s="169"/>
      <c r="Q89" s="21"/>
      <c r="R89" s="56"/>
      <c r="S89" s="58"/>
      <c r="T89" s="58"/>
      <c r="U89" s="58"/>
      <c r="V89" s="64"/>
      <c r="W89" s="60"/>
      <c r="X89" s="60"/>
      <c r="Y89" s="60"/>
      <c r="Z89" s="60"/>
      <c r="AA89" s="60"/>
      <c r="AB89" s="60"/>
      <c r="AC89" s="60"/>
      <c r="AD89" s="60"/>
      <c r="AE89" s="60"/>
      <c r="AF89" s="60"/>
      <c r="AG89" s="62"/>
      <c r="AH89" s="62"/>
      <c r="AI89" s="60"/>
      <c r="AJ89" s="60"/>
      <c r="AK89" s="60"/>
      <c r="AL89" s="56"/>
      <c r="AM89" s="58"/>
      <c r="AN89" s="58"/>
      <c r="AO89" s="58"/>
      <c r="AP89" s="62"/>
      <c r="AQ89" s="62"/>
      <c r="AR89" s="62"/>
      <c r="AS89" s="62"/>
      <c r="AT89" s="62"/>
      <c r="AU89" s="62"/>
      <c r="AV89" s="60"/>
      <c r="AW89" s="60"/>
      <c r="AX89" s="60"/>
      <c r="AY89" s="60"/>
      <c r="AZ89" s="60"/>
      <c r="BA89" s="60"/>
      <c r="BB89" s="60"/>
      <c r="BC89" s="60"/>
      <c r="BD89" s="60"/>
      <c r="BE89" s="60"/>
      <c r="BF89" s="56"/>
      <c r="BG89" s="58"/>
      <c r="BH89" s="58"/>
      <c r="BI89" s="58"/>
      <c r="BJ89" s="62"/>
      <c r="BK89" s="60"/>
      <c r="BL89" s="60"/>
      <c r="BM89" s="60"/>
      <c r="BN89" s="60"/>
      <c r="BO89" s="60"/>
      <c r="BP89" s="60"/>
      <c r="BQ89" s="60"/>
      <c r="BR89" s="60"/>
      <c r="BS89" s="60"/>
      <c r="BT89" s="60"/>
      <c r="BU89" s="60"/>
      <c r="BV89" s="60"/>
      <c r="BW89" s="60"/>
      <c r="BX89" s="60"/>
      <c r="BY89" s="60"/>
      <c r="BZ89" s="56"/>
      <c r="CA89" s="58"/>
      <c r="CB89" s="58"/>
      <c r="CC89" s="64"/>
      <c r="CD89" s="64"/>
      <c r="CE89" s="60"/>
      <c r="CF89" s="60"/>
      <c r="CG89" s="60"/>
      <c r="CH89" s="60"/>
      <c r="CI89" s="60"/>
      <c r="CJ89" s="60"/>
      <c r="CK89" s="60"/>
      <c r="CL89" s="60"/>
      <c r="CM89" s="60"/>
      <c r="CN89" s="60"/>
      <c r="CO89" s="60"/>
      <c r="CP89" s="60"/>
      <c r="CQ89" s="60"/>
      <c r="CR89" s="60"/>
      <c r="CS89" s="60"/>
      <c r="CT89" s="56"/>
      <c r="CU89" s="64"/>
      <c r="CV89" s="64"/>
      <c r="CW89" s="64"/>
      <c r="CX89" s="64"/>
      <c r="CY89" s="60"/>
      <c r="CZ89" s="60"/>
      <c r="DA89" s="60"/>
      <c r="DB89" s="60"/>
      <c r="DC89" s="60"/>
      <c r="DD89" s="60"/>
      <c r="DE89" s="60"/>
      <c r="DF89" s="60"/>
      <c r="DG89" s="60"/>
      <c r="DH89" s="60"/>
      <c r="DI89" s="60"/>
      <c r="DJ89" s="60"/>
      <c r="DK89" s="60"/>
      <c r="DL89" s="60"/>
      <c r="DM89" s="60"/>
      <c r="DN89" s="56"/>
      <c r="DO89" s="58"/>
      <c r="DP89" s="58"/>
      <c r="DQ89" s="64"/>
      <c r="DR89" s="60"/>
      <c r="DS89" s="60"/>
      <c r="DT89" s="60"/>
      <c r="DU89" s="60"/>
      <c r="DV89" s="60"/>
      <c r="DW89" s="60"/>
      <c r="DX89" s="60"/>
      <c r="DY89" s="60"/>
      <c r="DZ89" s="60"/>
      <c r="EA89" s="60"/>
      <c r="EB89" s="60"/>
      <c r="EC89" s="62"/>
      <c r="ED89" s="62"/>
      <c r="EE89" s="60"/>
      <c r="EF89" s="60"/>
      <c r="EG89" s="60"/>
      <c r="EH89" s="56"/>
      <c r="EI89" s="58"/>
      <c r="EJ89" s="58"/>
      <c r="EK89" s="64"/>
      <c r="EL89" s="60"/>
      <c r="EM89" s="60"/>
      <c r="EN89" s="60"/>
      <c r="EO89" s="60"/>
      <c r="EP89" s="60"/>
      <c r="EQ89" s="60"/>
      <c r="ER89" s="60"/>
      <c r="ES89" s="60"/>
      <c r="ET89" s="60"/>
      <c r="EU89" s="60"/>
      <c r="EV89" s="60"/>
      <c r="EW89" s="60"/>
      <c r="EX89" s="60"/>
      <c r="EY89" s="60"/>
      <c r="EZ89" s="60"/>
      <c r="FA89" s="60"/>
      <c r="FB89" s="56"/>
      <c r="FC89" s="64"/>
      <c r="FD89" s="64"/>
      <c r="FE89" s="64"/>
      <c r="FF89" s="60"/>
      <c r="FG89" s="60"/>
      <c r="FH89" s="60"/>
      <c r="FI89" s="60"/>
      <c r="FJ89" s="60"/>
      <c r="FK89" s="60"/>
      <c r="FL89" s="60"/>
      <c r="FM89" s="60"/>
      <c r="FN89" s="60"/>
      <c r="FO89" s="60"/>
      <c r="FP89" s="60"/>
      <c r="FQ89" s="60"/>
      <c r="FR89" s="60"/>
      <c r="FS89" s="60"/>
      <c r="FT89" s="60"/>
      <c r="FU89" s="60"/>
      <c r="FV89" s="56"/>
      <c r="FW89" s="64"/>
      <c r="FX89" s="64"/>
      <c r="FY89" s="64"/>
      <c r="FZ89" s="60"/>
      <c r="GA89" s="60"/>
      <c r="GB89" s="60"/>
      <c r="GC89" s="60"/>
      <c r="GD89" s="60"/>
      <c r="GE89" s="60"/>
      <c r="GF89" s="60"/>
      <c r="GG89" s="60"/>
      <c r="GH89" s="60"/>
      <c r="GI89" s="60"/>
      <c r="GJ89" s="60"/>
      <c r="GK89" s="60"/>
      <c r="GL89" s="60"/>
      <c r="GM89" s="60"/>
      <c r="GN89" s="60"/>
      <c r="GO89" s="60"/>
      <c r="GP89" s="56"/>
      <c r="GQ89" s="64"/>
      <c r="GR89" s="64"/>
      <c r="GS89" s="64"/>
      <c r="GT89" s="60"/>
      <c r="GU89" s="60"/>
      <c r="GV89" s="60"/>
      <c r="GW89" s="60"/>
      <c r="GX89" s="60"/>
      <c r="GY89" s="60"/>
      <c r="GZ89" s="62"/>
      <c r="HA89" s="62"/>
      <c r="HB89" s="62"/>
      <c r="HC89" s="62"/>
      <c r="HD89" s="62"/>
      <c r="HE89" s="62"/>
      <c r="HF89" s="62"/>
      <c r="HG89" s="62"/>
      <c r="HH89" s="62"/>
      <c r="HI89" s="62"/>
      <c r="HJ89" s="56"/>
      <c r="HK89" s="58"/>
      <c r="HL89" s="58"/>
      <c r="HM89" s="58"/>
      <c r="HN89" s="62"/>
      <c r="HO89" s="62"/>
      <c r="HP89" s="62"/>
      <c r="HQ89" s="62"/>
      <c r="HR89" s="62"/>
      <c r="HS89" s="62"/>
      <c r="HT89" s="62"/>
      <c r="HU89" s="62"/>
      <c r="HV89" s="62"/>
      <c r="HW89" s="62"/>
      <c r="HX89" s="62"/>
      <c r="HY89" s="62"/>
      <c r="HZ89" s="62"/>
      <c r="IA89" s="62"/>
      <c r="IB89" s="62"/>
      <c r="IC89" s="62"/>
      <c r="ID89" s="4"/>
      <c r="IF89" s="23"/>
      <c r="IG89" s="28"/>
      <c r="IH89" s="28" t="s">
        <v>99</v>
      </c>
      <c r="II89" s="29" t="str">
        <f t="shared" si="23"/>
        <v/>
      </c>
      <c r="IJ89" s="29" t="str">
        <f t="shared" si="24"/>
        <v>ColorNone</v>
      </c>
      <c r="IK89" s="8">
        <f t="shared" si="25"/>
        <v>0</v>
      </c>
      <c r="IL89" s="23"/>
    </row>
    <row r="90" spans="1:246" ht="14.25" thickBot="1" x14ac:dyDescent="0.2">
      <c r="A90" s="223"/>
      <c r="B90" s="6" t="s">
        <v>54</v>
      </c>
      <c r="C90" s="7" t="str">
        <f t="shared" si="5"/>
        <v/>
      </c>
      <c r="D90" s="91"/>
      <c r="E90" s="103"/>
      <c r="F90" s="97"/>
      <c r="G90" s="117"/>
      <c r="H90" s="98"/>
      <c r="I90" s="95"/>
      <c r="J90" s="96"/>
      <c r="K90" s="147" t="s">
        <v>105</v>
      </c>
      <c r="L90" s="158"/>
      <c r="M90" s="165"/>
      <c r="N90" s="159"/>
      <c r="O90" s="160"/>
      <c r="P90" s="169"/>
      <c r="Q90" s="21"/>
      <c r="R90" s="56"/>
      <c r="S90" s="58"/>
      <c r="T90" s="58"/>
      <c r="U90" s="58"/>
      <c r="V90" s="64"/>
      <c r="W90" s="60"/>
      <c r="X90" s="60"/>
      <c r="Y90" s="60"/>
      <c r="Z90" s="60"/>
      <c r="AA90" s="60"/>
      <c r="AB90" s="60"/>
      <c r="AC90" s="60"/>
      <c r="AD90" s="60"/>
      <c r="AE90" s="60"/>
      <c r="AF90" s="60"/>
      <c r="AG90" s="62"/>
      <c r="AH90" s="62"/>
      <c r="AI90" s="60"/>
      <c r="AJ90" s="60"/>
      <c r="AK90" s="60"/>
      <c r="AL90" s="56"/>
      <c r="AM90" s="58"/>
      <c r="AN90" s="58"/>
      <c r="AO90" s="58"/>
      <c r="AP90" s="62"/>
      <c r="AQ90" s="62"/>
      <c r="AR90" s="62"/>
      <c r="AS90" s="62"/>
      <c r="AT90" s="62"/>
      <c r="AU90" s="62"/>
      <c r="AV90" s="60"/>
      <c r="AW90" s="60"/>
      <c r="AX90" s="60"/>
      <c r="AY90" s="60"/>
      <c r="AZ90" s="60"/>
      <c r="BA90" s="60"/>
      <c r="BB90" s="60"/>
      <c r="BC90" s="60"/>
      <c r="BD90" s="60"/>
      <c r="BE90" s="60"/>
      <c r="BF90" s="56"/>
      <c r="BG90" s="58"/>
      <c r="BH90" s="58"/>
      <c r="BI90" s="58"/>
      <c r="BJ90" s="62"/>
      <c r="BK90" s="60"/>
      <c r="BL90" s="60"/>
      <c r="BM90" s="60"/>
      <c r="BN90" s="60"/>
      <c r="BO90" s="60"/>
      <c r="BP90" s="60"/>
      <c r="BQ90" s="60"/>
      <c r="BR90" s="60"/>
      <c r="BS90" s="60"/>
      <c r="BT90" s="60"/>
      <c r="BU90" s="60"/>
      <c r="BV90" s="60"/>
      <c r="BW90" s="60"/>
      <c r="BX90" s="60"/>
      <c r="BY90" s="60"/>
      <c r="BZ90" s="56"/>
      <c r="CA90" s="58"/>
      <c r="CB90" s="58"/>
      <c r="CC90" s="64"/>
      <c r="CD90" s="64"/>
      <c r="CE90" s="60"/>
      <c r="CF90" s="60"/>
      <c r="CG90" s="60"/>
      <c r="CH90" s="60"/>
      <c r="CI90" s="60"/>
      <c r="CJ90" s="60"/>
      <c r="CK90" s="60"/>
      <c r="CL90" s="60"/>
      <c r="CM90" s="60"/>
      <c r="CN90" s="60"/>
      <c r="CO90" s="60"/>
      <c r="CP90" s="60"/>
      <c r="CQ90" s="60"/>
      <c r="CR90" s="60"/>
      <c r="CS90" s="60"/>
      <c r="CT90" s="56"/>
      <c r="CU90" s="64"/>
      <c r="CV90" s="64"/>
      <c r="CW90" s="64"/>
      <c r="CX90" s="64"/>
      <c r="CY90" s="60"/>
      <c r="CZ90" s="60"/>
      <c r="DA90" s="60"/>
      <c r="DB90" s="60"/>
      <c r="DC90" s="60"/>
      <c r="DD90" s="60"/>
      <c r="DE90" s="60"/>
      <c r="DF90" s="60"/>
      <c r="DG90" s="60"/>
      <c r="DH90" s="60"/>
      <c r="DI90" s="60"/>
      <c r="DJ90" s="60"/>
      <c r="DK90" s="60"/>
      <c r="DL90" s="60"/>
      <c r="DM90" s="60"/>
      <c r="DN90" s="56"/>
      <c r="DO90" s="58"/>
      <c r="DP90" s="58"/>
      <c r="DQ90" s="64"/>
      <c r="DR90" s="60"/>
      <c r="DS90" s="60"/>
      <c r="DT90" s="60"/>
      <c r="DU90" s="60"/>
      <c r="DV90" s="60"/>
      <c r="DW90" s="60"/>
      <c r="DX90" s="60"/>
      <c r="DY90" s="60"/>
      <c r="DZ90" s="60"/>
      <c r="EA90" s="60"/>
      <c r="EB90" s="60"/>
      <c r="EC90" s="62"/>
      <c r="ED90" s="62"/>
      <c r="EE90" s="60"/>
      <c r="EF90" s="60"/>
      <c r="EG90" s="60"/>
      <c r="EH90" s="56"/>
      <c r="EI90" s="58"/>
      <c r="EJ90" s="58"/>
      <c r="EK90" s="64"/>
      <c r="EL90" s="60"/>
      <c r="EM90" s="60"/>
      <c r="EN90" s="60"/>
      <c r="EO90" s="60"/>
      <c r="EP90" s="60"/>
      <c r="EQ90" s="60"/>
      <c r="ER90" s="60"/>
      <c r="ES90" s="60"/>
      <c r="ET90" s="60"/>
      <c r="EU90" s="60"/>
      <c r="EV90" s="60"/>
      <c r="EW90" s="60"/>
      <c r="EX90" s="60"/>
      <c r="EY90" s="60"/>
      <c r="EZ90" s="60"/>
      <c r="FA90" s="60"/>
      <c r="FB90" s="56"/>
      <c r="FC90" s="64"/>
      <c r="FD90" s="64"/>
      <c r="FE90" s="64"/>
      <c r="FF90" s="60"/>
      <c r="FG90" s="60"/>
      <c r="FH90" s="60"/>
      <c r="FI90" s="60"/>
      <c r="FJ90" s="60"/>
      <c r="FK90" s="60"/>
      <c r="FL90" s="60"/>
      <c r="FM90" s="60"/>
      <c r="FN90" s="60"/>
      <c r="FO90" s="60"/>
      <c r="FP90" s="60"/>
      <c r="FQ90" s="60"/>
      <c r="FR90" s="60"/>
      <c r="FS90" s="60"/>
      <c r="FT90" s="60"/>
      <c r="FU90" s="60"/>
      <c r="FV90" s="56"/>
      <c r="FW90" s="64"/>
      <c r="FX90" s="64"/>
      <c r="FY90" s="64"/>
      <c r="FZ90" s="60"/>
      <c r="GA90" s="60"/>
      <c r="GB90" s="60"/>
      <c r="GC90" s="60"/>
      <c r="GD90" s="60"/>
      <c r="GE90" s="60"/>
      <c r="GF90" s="60"/>
      <c r="GG90" s="60"/>
      <c r="GH90" s="60"/>
      <c r="GI90" s="60"/>
      <c r="GJ90" s="60"/>
      <c r="GK90" s="60"/>
      <c r="GL90" s="60"/>
      <c r="GM90" s="60"/>
      <c r="GN90" s="60"/>
      <c r="GO90" s="60"/>
      <c r="GP90" s="56"/>
      <c r="GQ90" s="64"/>
      <c r="GR90" s="64"/>
      <c r="GS90" s="64"/>
      <c r="GT90" s="60"/>
      <c r="GU90" s="60"/>
      <c r="GV90" s="60"/>
      <c r="GW90" s="60"/>
      <c r="GX90" s="60"/>
      <c r="GY90" s="60"/>
      <c r="GZ90" s="62"/>
      <c r="HA90" s="62"/>
      <c r="HB90" s="62"/>
      <c r="HC90" s="62"/>
      <c r="HD90" s="62"/>
      <c r="HE90" s="62"/>
      <c r="HF90" s="62"/>
      <c r="HG90" s="62"/>
      <c r="HH90" s="62"/>
      <c r="HI90" s="62"/>
      <c r="HJ90" s="56"/>
      <c r="HK90" s="58"/>
      <c r="HL90" s="58"/>
      <c r="HM90" s="58"/>
      <c r="HN90" s="62"/>
      <c r="HO90" s="62"/>
      <c r="HP90" s="62"/>
      <c r="HQ90" s="62"/>
      <c r="HR90" s="62"/>
      <c r="HS90" s="62"/>
      <c r="HT90" s="62"/>
      <c r="HU90" s="62"/>
      <c r="HV90" s="62"/>
      <c r="HW90" s="62"/>
      <c r="HX90" s="62"/>
      <c r="HY90" s="62"/>
      <c r="HZ90" s="62"/>
      <c r="IA90" s="62"/>
      <c r="IB90" s="62"/>
      <c r="IC90" s="62"/>
      <c r="ID90" s="4"/>
      <c r="IF90" s="23"/>
      <c r="IG90" s="28"/>
      <c r="IH90" s="28" t="s">
        <v>99</v>
      </c>
      <c r="II90" s="29" t="str">
        <f t="shared" si="23"/>
        <v/>
      </c>
      <c r="IJ90" s="29" t="str">
        <f t="shared" si="24"/>
        <v>ColorNone</v>
      </c>
      <c r="IK90" s="8">
        <f t="shared" si="25"/>
        <v>0</v>
      </c>
      <c r="IL90" s="23"/>
    </row>
    <row r="91" spans="1:246" ht="14.25" thickBot="1" x14ac:dyDescent="0.2">
      <c r="A91" s="223"/>
      <c r="B91" s="6" t="s">
        <v>55</v>
      </c>
      <c r="C91" s="7" t="str">
        <f t="shared" si="5"/>
        <v/>
      </c>
      <c r="D91" s="91"/>
      <c r="E91" s="103"/>
      <c r="F91" s="93"/>
      <c r="G91" s="117"/>
      <c r="H91" s="94"/>
      <c r="I91" s="95"/>
      <c r="J91" s="96"/>
      <c r="K91" s="146" t="s">
        <v>105</v>
      </c>
      <c r="L91" s="158"/>
      <c r="M91" s="165"/>
      <c r="N91" s="159"/>
      <c r="O91" s="160"/>
      <c r="P91" s="169"/>
      <c r="Q91" s="21"/>
      <c r="R91" s="56"/>
      <c r="S91" s="58"/>
      <c r="T91" s="58"/>
      <c r="U91" s="58"/>
      <c r="V91" s="64"/>
      <c r="W91" s="60"/>
      <c r="X91" s="60"/>
      <c r="Y91" s="60"/>
      <c r="Z91" s="60"/>
      <c r="AA91" s="60"/>
      <c r="AB91" s="60"/>
      <c r="AC91" s="60"/>
      <c r="AD91" s="60"/>
      <c r="AE91" s="60"/>
      <c r="AF91" s="60"/>
      <c r="AG91" s="62"/>
      <c r="AH91" s="62"/>
      <c r="AI91" s="60"/>
      <c r="AJ91" s="60"/>
      <c r="AK91" s="60"/>
      <c r="AL91" s="56"/>
      <c r="AM91" s="58"/>
      <c r="AN91" s="58"/>
      <c r="AO91" s="58"/>
      <c r="AP91" s="62"/>
      <c r="AQ91" s="62"/>
      <c r="AR91" s="62"/>
      <c r="AS91" s="62"/>
      <c r="AT91" s="62"/>
      <c r="AU91" s="62"/>
      <c r="AV91" s="60"/>
      <c r="AW91" s="60"/>
      <c r="AX91" s="60"/>
      <c r="AY91" s="60"/>
      <c r="AZ91" s="60"/>
      <c r="BA91" s="60"/>
      <c r="BB91" s="60"/>
      <c r="BC91" s="60"/>
      <c r="BD91" s="60"/>
      <c r="BE91" s="60"/>
      <c r="BF91" s="56"/>
      <c r="BG91" s="58"/>
      <c r="BH91" s="58"/>
      <c r="BI91" s="58"/>
      <c r="BJ91" s="62"/>
      <c r="BK91" s="60"/>
      <c r="BL91" s="60"/>
      <c r="BM91" s="60"/>
      <c r="BN91" s="60"/>
      <c r="BO91" s="60"/>
      <c r="BP91" s="60"/>
      <c r="BQ91" s="60"/>
      <c r="BR91" s="60"/>
      <c r="BS91" s="60"/>
      <c r="BT91" s="60"/>
      <c r="BU91" s="60"/>
      <c r="BV91" s="60"/>
      <c r="BW91" s="60"/>
      <c r="BX91" s="60"/>
      <c r="BY91" s="60"/>
      <c r="BZ91" s="56"/>
      <c r="CA91" s="58"/>
      <c r="CB91" s="58"/>
      <c r="CC91" s="64"/>
      <c r="CD91" s="64"/>
      <c r="CE91" s="60"/>
      <c r="CF91" s="60"/>
      <c r="CG91" s="60"/>
      <c r="CH91" s="60"/>
      <c r="CI91" s="60"/>
      <c r="CJ91" s="60"/>
      <c r="CK91" s="60"/>
      <c r="CL91" s="60"/>
      <c r="CM91" s="60"/>
      <c r="CN91" s="60"/>
      <c r="CO91" s="60"/>
      <c r="CP91" s="60"/>
      <c r="CQ91" s="60"/>
      <c r="CR91" s="60"/>
      <c r="CS91" s="60"/>
      <c r="CT91" s="56"/>
      <c r="CU91" s="64"/>
      <c r="CV91" s="64"/>
      <c r="CW91" s="64"/>
      <c r="CX91" s="64"/>
      <c r="CY91" s="60"/>
      <c r="CZ91" s="60"/>
      <c r="DA91" s="60"/>
      <c r="DB91" s="60"/>
      <c r="DC91" s="60"/>
      <c r="DD91" s="60"/>
      <c r="DE91" s="60"/>
      <c r="DF91" s="60"/>
      <c r="DG91" s="60"/>
      <c r="DH91" s="60"/>
      <c r="DI91" s="60"/>
      <c r="DJ91" s="60"/>
      <c r="DK91" s="60"/>
      <c r="DL91" s="60"/>
      <c r="DM91" s="60"/>
      <c r="DN91" s="56"/>
      <c r="DO91" s="58"/>
      <c r="DP91" s="58"/>
      <c r="DQ91" s="64"/>
      <c r="DR91" s="60"/>
      <c r="DS91" s="60"/>
      <c r="DT91" s="60"/>
      <c r="DU91" s="60"/>
      <c r="DV91" s="60"/>
      <c r="DW91" s="60"/>
      <c r="DX91" s="60"/>
      <c r="DY91" s="60"/>
      <c r="DZ91" s="60"/>
      <c r="EA91" s="60"/>
      <c r="EB91" s="60"/>
      <c r="EC91" s="62"/>
      <c r="ED91" s="62"/>
      <c r="EE91" s="60"/>
      <c r="EF91" s="60"/>
      <c r="EG91" s="60"/>
      <c r="EH91" s="56"/>
      <c r="EI91" s="58"/>
      <c r="EJ91" s="58"/>
      <c r="EK91" s="64"/>
      <c r="EL91" s="60"/>
      <c r="EM91" s="60"/>
      <c r="EN91" s="60"/>
      <c r="EO91" s="60"/>
      <c r="EP91" s="60"/>
      <c r="EQ91" s="60"/>
      <c r="ER91" s="60"/>
      <c r="ES91" s="60"/>
      <c r="ET91" s="60"/>
      <c r="EU91" s="60"/>
      <c r="EV91" s="60"/>
      <c r="EW91" s="60"/>
      <c r="EX91" s="60"/>
      <c r="EY91" s="60"/>
      <c r="EZ91" s="60"/>
      <c r="FA91" s="60"/>
      <c r="FB91" s="56"/>
      <c r="FC91" s="64"/>
      <c r="FD91" s="64"/>
      <c r="FE91" s="64"/>
      <c r="FF91" s="60"/>
      <c r="FG91" s="60"/>
      <c r="FH91" s="60"/>
      <c r="FI91" s="60"/>
      <c r="FJ91" s="60"/>
      <c r="FK91" s="60"/>
      <c r="FL91" s="60"/>
      <c r="FM91" s="60"/>
      <c r="FN91" s="60"/>
      <c r="FO91" s="60"/>
      <c r="FP91" s="60"/>
      <c r="FQ91" s="60"/>
      <c r="FR91" s="60"/>
      <c r="FS91" s="60"/>
      <c r="FT91" s="60"/>
      <c r="FU91" s="60"/>
      <c r="FV91" s="56"/>
      <c r="FW91" s="64"/>
      <c r="FX91" s="64"/>
      <c r="FY91" s="64"/>
      <c r="FZ91" s="60"/>
      <c r="GA91" s="60"/>
      <c r="GB91" s="60"/>
      <c r="GC91" s="60"/>
      <c r="GD91" s="60"/>
      <c r="GE91" s="60"/>
      <c r="GF91" s="60"/>
      <c r="GG91" s="60"/>
      <c r="GH91" s="60"/>
      <c r="GI91" s="60"/>
      <c r="GJ91" s="60"/>
      <c r="GK91" s="60"/>
      <c r="GL91" s="60"/>
      <c r="GM91" s="60"/>
      <c r="GN91" s="60"/>
      <c r="GO91" s="60"/>
      <c r="GP91" s="56"/>
      <c r="GQ91" s="64"/>
      <c r="GR91" s="64"/>
      <c r="GS91" s="64"/>
      <c r="GT91" s="60"/>
      <c r="GU91" s="60"/>
      <c r="GV91" s="60"/>
      <c r="GW91" s="60"/>
      <c r="GX91" s="60"/>
      <c r="GY91" s="60"/>
      <c r="GZ91" s="62"/>
      <c r="HA91" s="62"/>
      <c r="HB91" s="62"/>
      <c r="HC91" s="62"/>
      <c r="HD91" s="62"/>
      <c r="HE91" s="62"/>
      <c r="HF91" s="62"/>
      <c r="HG91" s="62"/>
      <c r="HH91" s="62"/>
      <c r="HI91" s="62"/>
      <c r="HJ91" s="56"/>
      <c r="HK91" s="58"/>
      <c r="HL91" s="58"/>
      <c r="HM91" s="58"/>
      <c r="HN91" s="62"/>
      <c r="HO91" s="62"/>
      <c r="HP91" s="62"/>
      <c r="HQ91" s="62"/>
      <c r="HR91" s="62"/>
      <c r="HS91" s="62"/>
      <c r="HT91" s="62"/>
      <c r="HU91" s="62"/>
      <c r="HV91" s="62"/>
      <c r="HW91" s="62"/>
      <c r="HX91" s="62"/>
      <c r="HY91" s="62"/>
      <c r="HZ91" s="62"/>
      <c r="IA91" s="62"/>
      <c r="IB91" s="62"/>
      <c r="IC91" s="62"/>
      <c r="ID91" s="4"/>
      <c r="IF91" s="23"/>
      <c r="IG91" s="28"/>
      <c r="IH91" s="28" t="s">
        <v>99</v>
      </c>
      <c r="II91" s="29" t="str">
        <f t="shared" si="23"/>
        <v/>
      </c>
      <c r="IJ91" s="29" t="str">
        <f t="shared" si="24"/>
        <v>ColorNone</v>
      </c>
      <c r="IK91" s="8">
        <f t="shared" si="25"/>
        <v>0</v>
      </c>
      <c r="IL91" s="23"/>
    </row>
    <row r="92" spans="1:246" ht="14.25" thickBot="1" x14ac:dyDescent="0.2">
      <c r="A92" s="224"/>
      <c r="B92" s="6" t="s">
        <v>56</v>
      </c>
      <c r="C92" s="7" t="str">
        <f t="shared" si="5"/>
        <v/>
      </c>
      <c r="D92" s="91"/>
      <c r="E92" s="103"/>
      <c r="F92" s="97"/>
      <c r="G92" s="117"/>
      <c r="H92" s="98"/>
      <c r="I92" s="95"/>
      <c r="J92" s="96"/>
      <c r="K92" s="147" t="s">
        <v>105</v>
      </c>
      <c r="L92" s="158"/>
      <c r="M92" s="165"/>
      <c r="N92" s="159"/>
      <c r="O92" s="160"/>
      <c r="P92" s="169"/>
      <c r="Q92" s="21"/>
      <c r="R92" s="56"/>
      <c r="S92" s="58"/>
      <c r="T92" s="58"/>
      <c r="U92" s="58"/>
      <c r="V92" s="64"/>
      <c r="W92" s="60"/>
      <c r="X92" s="60"/>
      <c r="Y92" s="60"/>
      <c r="Z92" s="60"/>
      <c r="AA92" s="60"/>
      <c r="AB92" s="60"/>
      <c r="AC92" s="60"/>
      <c r="AD92" s="60"/>
      <c r="AE92" s="60"/>
      <c r="AF92" s="60"/>
      <c r="AG92" s="62"/>
      <c r="AH92" s="62"/>
      <c r="AI92" s="60"/>
      <c r="AJ92" s="60"/>
      <c r="AK92" s="60"/>
      <c r="AL92" s="56"/>
      <c r="AM92" s="58"/>
      <c r="AN92" s="58"/>
      <c r="AO92" s="58"/>
      <c r="AP92" s="62"/>
      <c r="AQ92" s="62"/>
      <c r="AR92" s="62"/>
      <c r="AS92" s="62"/>
      <c r="AT92" s="62"/>
      <c r="AU92" s="62"/>
      <c r="AV92" s="60"/>
      <c r="AW92" s="60"/>
      <c r="AX92" s="60"/>
      <c r="AY92" s="60"/>
      <c r="AZ92" s="60"/>
      <c r="BA92" s="60"/>
      <c r="BB92" s="60"/>
      <c r="BC92" s="60"/>
      <c r="BD92" s="60"/>
      <c r="BE92" s="60"/>
      <c r="BF92" s="56"/>
      <c r="BG92" s="58"/>
      <c r="BH92" s="58"/>
      <c r="BI92" s="58"/>
      <c r="BJ92" s="62"/>
      <c r="BK92" s="60"/>
      <c r="BL92" s="60"/>
      <c r="BM92" s="60"/>
      <c r="BN92" s="60"/>
      <c r="BO92" s="60"/>
      <c r="BP92" s="60"/>
      <c r="BQ92" s="60"/>
      <c r="BR92" s="60"/>
      <c r="BS92" s="60"/>
      <c r="BT92" s="60"/>
      <c r="BU92" s="60"/>
      <c r="BV92" s="60"/>
      <c r="BW92" s="60"/>
      <c r="BX92" s="60"/>
      <c r="BY92" s="60"/>
      <c r="BZ92" s="56"/>
      <c r="CA92" s="58"/>
      <c r="CB92" s="58"/>
      <c r="CC92" s="64"/>
      <c r="CD92" s="64"/>
      <c r="CE92" s="60"/>
      <c r="CF92" s="60"/>
      <c r="CG92" s="60"/>
      <c r="CH92" s="60"/>
      <c r="CI92" s="60"/>
      <c r="CJ92" s="60"/>
      <c r="CK92" s="60"/>
      <c r="CL92" s="60"/>
      <c r="CM92" s="60"/>
      <c r="CN92" s="60"/>
      <c r="CO92" s="60"/>
      <c r="CP92" s="60"/>
      <c r="CQ92" s="60"/>
      <c r="CR92" s="60"/>
      <c r="CS92" s="60"/>
      <c r="CT92" s="56"/>
      <c r="CU92" s="64"/>
      <c r="CV92" s="64"/>
      <c r="CW92" s="64"/>
      <c r="CX92" s="64"/>
      <c r="CY92" s="60"/>
      <c r="CZ92" s="60"/>
      <c r="DA92" s="60"/>
      <c r="DB92" s="60"/>
      <c r="DC92" s="60"/>
      <c r="DD92" s="60"/>
      <c r="DE92" s="60"/>
      <c r="DF92" s="60"/>
      <c r="DG92" s="60"/>
      <c r="DH92" s="60"/>
      <c r="DI92" s="60"/>
      <c r="DJ92" s="60"/>
      <c r="DK92" s="60"/>
      <c r="DL92" s="60"/>
      <c r="DM92" s="60"/>
      <c r="DN92" s="56"/>
      <c r="DO92" s="58"/>
      <c r="DP92" s="58"/>
      <c r="DQ92" s="64"/>
      <c r="DR92" s="60"/>
      <c r="DS92" s="60"/>
      <c r="DT92" s="60"/>
      <c r="DU92" s="60"/>
      <c r="DV92" s="60"/>
      <c r="DW92" s="60"/>
      <c r="DX92" s="60"/>
      <c r="DY92" s="60"/>
      <c r="DZ92" s="60"/>
      <c r="EA92" s="60"/>
      <c r="EB92" s="60"/>
      <c r="EC92" s="62"/>
      <c r="ED92" s="62"/>
      <c r="EE92" s="60"/>
      <c r="EF92" s="60"/>
      <c r="EG92" s="60"/>
      <c r="EH92" s="56"/>
      <c r="EI92" s="58"/>
      <c r="EJ92" s="58"/>
      <c r="EK92" s="64"/>
      <c r="EL92" s="60"/>
      <c r="EM92" s="60"/>
      <c r="EN92" s="60"/>
      <c r="EO92" s="60"/>
      <c r="EP92" s="60"/>
      <c r="EQ92" s="60"/>
      <c r="ER92" s="60"/>
      <c r="ES92" s="60"/>
      <c r="ET92" s="60"/>
      <c r="EU92" s="60"/>
      <c r="EV92" s="60"/>
      <c r="EW92" s="60"/>
      <c r="EX92" s="60"/>
      <c r="EY92" s="60"/>
      <c r="EZ92" s="60"/>
      <c r="FA92" s="60"/>
      <c r="FB92" s="56"/>
      <c r="FC92" s="64"/>
      <c r="FD92" s="64"/>
      <c r="FE92" s="64"/>
      <c r="FF92" s="60"/>
      <c r="FG92" s="60"/>
      <c r="FH92" s="60"/>
      <c r="FI92" s="60"/>
      <c r="FJ92" s="60"/>
      <c r="FK92" s="60"/>
      <c r="FL92" s="60"/>
      <c r="FM92" s="60"/>
      <c r="FN92" s="60"/>
      <c r="FO92" s="60"/>
      <c r="FP92" s="60"/>
      <c r="FQ92" s="60"/>
      <c r="FR92" s="60"/>
      <c r="FS92" s="60"/>
      <c r="FT92" s="60"/>
      <c r="FU92" s="60"/>
      <c r="FV92" s="56"/>
      <c r="FW92" s="64"/>
      <c r="FX92" s="64"/>
      <c r="FY92" s="64"/>
      <c r="FZ92" s="60"/>
      <c r="GA92" s="60"/>
      <c r="GB92" s="60"/>
      <c r="GC92" s="60"/>
      <c r="GD92" s="60"/>
      <c r="GE92" s="60"/>
      <c r="GF92" s="60"/>
      <c r="GG92" s="60"/>
      <c r="GH92" s="60"/>
      <c r="GI92" s="60"/>
      <c r="GJ92" s="60"/>
      <c r="GK92" s="60"/>
      <c r="GL92" s="60"/>
      <c r="GM92" s="60"/>
      <c r="GN92" s="60"/>
      <c r="GO92" s="60"/>
      <c r="GP92" s="56"/>
      <c r="GQ92" s="64"/>
      <c r="GR92" s="64"/>
      <c r="GS92" s="64"/>
      <c r="GT92" s="60"/>
      <c r="GU92" s="60"/>
      <c r="GV92" s="60"/>
      <c r="GW92" s="60"/>
      <c r="GX92" s="60"/>
      <c r="GY92" s="60"/>
      <c r="GZ92" s="62"/>
      <c r="HA92" s="62"/>
      <c r="HB92" s="62"/>
      <c r="HC92" s="62"/>
      <c r="HD92" s="62"/>
      <c r="HE92" s="62"/>
      <c r="HF92" s="62"/>
      <c r="HG92" s="62"/>
      <c r="HH92" s="62"/>
      <c r="HI92" s="62"/>
      <c r="HJ92" s="56"/>
      <c r="HK92" s="58"/>
      <c r="HL92" s="58"/>
      <c r="HM92" s="58"/>
      <c r="HN92" s="62"/>
      <c r="HO92" s="62"/>
      <c r="HP92" s="62"/>
      <c r="HQ92" s="62"/>
      <c r="HR92" s="62"/>
      <c r="HS92" s="62"/>
      <c r="HT92" s="62"/>
      <c r="HU92" s="62"/>
      <c r="HV92" s="62"/>
      <c r="HW92" s="62"/>
      <c r="HX92" s="62"/>
      <c r="HY92" s="62"/>
      <c r="HZ92" s="62"/>
      <c r="IA92" s="62"/>
      <c r="IB92" s="62"/>
      <c r="IC92" s="62"/>
      <c r="ID92" s="4"/>
      <c r="IF92" s="23"/>
      <c r="IG92" s="28"/>
      <c r="IH92" s="28" t="s">
        <v>99</v>
      </c>
      <c r="II92" s="29" t="str">
        <f t="shared" si="23"/>
        <v/>
      </c>
      <c r="IJ92" s="29" t="str">
        <f t="shared" si="24"/>
        <v>ColorNone</v>
      </c>
      <c r="IK92" s="9">
        <f t="shared" si="25"/>
        <v>0</v>
      </c>
      <c r="IL92" s="23"/>
    </row>
    <row r="93" spans="1:246" x14ac:dyDescent="0.15">
      <c r="A93" s="3"/>
      <c r="B93" s="4"/>
      <c r="C93" s="4"/>
      <c r="D93" s="118"/>
      <c r="E93" s="118"/>
      <c r="F93" s="118"/>
      <c r="G93" s="118"/>
      <c r="H93" s="118"/>
      <c r="I93" s="118"/>
      <c r="J93" s="118"/>
      <c r="K93" s="118"/>
      <c r="L93" s="118"/>
      <c r="M93" s="118"/>
      <c r="N93" s="118"/>
      <c r="O93" s="118"/>
      <c r="P93" s="118"/>
      <c r="Q93" s="22"/>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23"/>
      <c r="II93" s="4"/>
      <c r="IJ93" s="23"/>
      <c r="IK93" s="23"/>
    </row>
    <row r="94" spans="1:246" outlineLevel="1" x14ac:dyDescent="0.15">
      <c r="A94" s="24"/>
      <c r="D94" s="119"/>
      <c r="E94" s="119"/>
      <c r="F94" s="119"/>
      <c r="H94" s="119"/>
      <c r="I94" s="119"/>
      <c r="J94" s="119"/>
      <c r="K94" s="119"/>
    </row>
    <row r="95" spans="1:246" s="36" customFormat="1" outlineLevel="1" x14ac:dyDescent="0.15">
      <c r="A95" s="44"/>
      <c r="D95" s="120"/>
      <c r="E95" s="120"/>
      <c r="F95" s="120"/>
      <c r="H95" s="120"/>
      <c r="I95" s="120"/>
      <c r="J95" s="120"/>
      <c r="K95" s="120"/>
      <c r="R95" s="25">
        <f>$R11</f>
        <v>44837</v>
      </c>
      <c r="S95" s="25">
        <f t="shared" ref="S95:AK95" si="26">$R11</f>
        <v>44837</v>
      </c>
      <c r="T95" s="25">
        <f t="shared" si="26"/>
        <v>44837</v>
      </c>
      <c r="U95" s="25">
        <f t="shared" si="26"/>
        <v>44837</v>
      </c>
      <c r="V95" s="25">
        <f t="shared" ref="V95" si="27">$R11</f>
        <v>44837</v>
      </c>
      <c r="W95" s="25">
        <f t="shared" si="26"/>
        <v>44837</v>
      </c>
      <c r="X95" s="25">
        <f t="shared" si="26"/>
        <v>44837</v>
      </c>
      <c r="Y95" s="25">
        <f t="shared" si="26"/>
        <v>44837</v>
      </c>
      <c r="Z95" s="25">
        <f t="shared" si="26"/>
        <v>44837</v>
      </c>
      <c r="AA95" s="25">
        <f t="shared" si="26"/>
        <v>44837</v>
      </c>
      <c r="AB95" s="25">
        <f t="shared" si="26"/>
        <v>44837</v>
      </c>
      <c r="AC95" s="25">
        <f t="shared" si="26"/>
        <v>44837</v>
      </c>
      <c r="AD95" s="25">
        <f t="shared" ref="AD95" si="28">$R11</f>
        <v>44837</v>
      </c>
      <c r="AE95" s="25">
        <f t="shared" si="26"/>
        <v>44837</v>
      </c>
      <c r="AF95" s="25">
        <f t="shared" si="26"/>
        <v>44837</v>
      </c>
      <c r="AG95" s="25">
        <f t="shared" si="26"/>
        <v>44837</v>
      </c>
      <c r="AH95" s="25">
        <f t="shared" si="26"/>
        <v>44837</v>
      </c>
      <c r="AI95" s="25">
        <f t="shared" si="26"/>
        <v>44837</v>
      </c>
      <c r="AJ95" s="25">
        <f t="shared" si="26"/>
        <v>44837</v>
      </c>
      <c r="AK95" s="25">
        <f t="shared" si="26"/>
        <v>44837</v>
      </c>
      <c r="AL95" s="25">
        <f>$AL11</f>
        <v>44851</v>
      </c>
      <c r="AM95" s="25">
        <f t="shared" ref="AM95:BE95" si="29">$AL11</f>
        <v>44851</v>
      </c>
      <c r="AN95" s="25">
        <f t="shared" si="29"/>
        <v>44851</v>
      </c>
      <c r="AO95" s="25">
        <f t="shared" si="29"/>
        <v>44851</v>
      </c>
      <c r="AP95" s="25">
        <f t="shared" si="29"/>
        <v>44851</v>
      </c>
      <c r="AQ95" s="25">
        <f t="shared" ref="AQ95" si="30">$AL11</f>
        <v>44851</v>
      </c>
      <c r="AR95" s="25">
        <f t="shared" si="29"/>
        <v>44851</v>
      </c>
      <c r="AS95" s="25">
        <f t="shared" si="29"/>
        <v>44851</v>
      </c>
      <c r="AT95" s="25">
        <f t="shared" si="29"/>
        <v>44851</v>
      </c>
      <c r="AU95" s="25">
        <f t="shared" si="29"/>
        <v>44851</v>
      </c>
      <c r="AV95" s="25">
        <f t="shared" si="29"/>
        <v>44851</v>
      </c>
      <c r="AW95" s="25">
        <f t="shared" si="29"/>
        <v>44851</v>
      </c>
      <c r="AX95" s="25">
        <f t="shared" ref="AX95" si="31">$AL11</f>
        <v>44851</v>
      </c>
      <c r="AY95" s="25">
        <f t="shared" si="29"/>
        <v>44851</v>
      </c>
      <c r="AZ95" s="25">
        <f t="shared" si="29"/>
        <v>44851</v>
      </c>
      <c r="BA95" s="25">
        <f t="shared" si="29"/>
        <v>44851</v>
      </c>
      <c r="BB95" s="25">
        <f t="shared" si="29"/>
        <v>44851</v>
      </c>
      <c r="BC95" s="25">
        <f t="shared" si="29"/>
        <v>44851</v>
      </c>
      <c r="BD95" s="25">
        <f t="shared" si="29"/>
        <v>44851</v>
      </c>
      <c r="BE95" s="25">
        <f t="shared" si="29"/>
        <v>44851</v>
      </c>
      <c r="BF95" s="25">
        <f>$BF11</f>
        <v>44858</v>
      </c>
      <c r="BG95" s="25">
        <f t="shared" ref="BG95:BY95" si="32">$BF11</f>
        <v>44858</v>
      </c>
      <c r="BH95" s="25">
        <f t="shared" si="32"/>
        <v>44858</v>
      </c>
      <c r="BI95" s="25">
        <f t="shared" si="32"/>
        <v>44858</v>
      </c>
      <c r="BJ95" s="25">
        <f t="shared" si="32"/>
        <v>44858</v>
      </c>
      <c r="BK95" s="25">
        <f t="shared" si="32"/>
        <v>44858</v>
      </c>
      <c r="BL95" s="25">
        <f t="shared" ref="BL95:BO95" si="33">$BF11</f>
        <v>44858</v>
      </c>
      <c r="BM95" s="25">
        <f t="shared" si="33"/>
        <v>44858</v>
      </c>
      <c r="BN95" s="25">
        <f t="shared" si="33"/>
        <v>44858</v>
      </c>
      <c r="BO95" s="25">
        <f t="shared" si="33"/>
        <v>44858</v>
      </c>
      <c r="BP95" s="25">
        <f t="shared" si="32"/>
        <v>44858</v>
      </c>
      <c r="BQ95" s="25">
        <f t="shared" si="32"/>
        <v>44858</v>
      </c>
      <c r="BR95" s="25">
        <f t="shared" ref="BR95:BT95" si="34">$BF11</f>
        <v>44858</v>
      </c>
      <c r="BS95" s="25">
        <f t="shared" si="34"/>
        <v>44858</v>
      </c>
      <c r="BT95" s="25">
        <f t="shared" si="34"/>
        <v>44858</v>
      </c>
      <c r="BU95" s="25">
        <f t="shared" si="32"/>
        <v>44858</v>
      </c>
      <c r="BV95" s="25">
        <f t="shared" si="32"/>
        <v>44858</v>
      </c>
      <c r="BW95" s="25">
        <f t="shared" si="32"/>
        <v>44858</v>
      </c>
      <c r="BX95" s="25">
        <f t="shared" si="32"/>
        <v>44858</v>
      </c>
      <c r="BY95" s="25">
        <f t="shared" si="32"/>
        <v>44858</v>
      </c>
      <c r="BZ95" s="54">
        <f>$BZ11</f>
        <v>44865</v>
      </c>
      <c r="CA95" s="54">
        <f t="shared" ref="CA95:CS95" si="35">$BZ11</f>
        <v>44865</v>
      </c>
      <c r="CB95" s="54">
        <f t="shared" si="35"/>
        <v>44865</v>
      </c>
      <c r="CC95" s="54">
        <f t="shared" ref="CC95:CE95" si="36">$BZ11</f>
        <v>44865</v>
      </c>
      <c r="CD95" s="54">
        <f t="shared" si="36"/>
        <v>44865</v>
      </c>
      <c r="CE95" s="54">
        <f t="shared" si="36"/>
        <v>44865</v>
      </c>
      <c r="CF95" s="54">
        <f t="shared" si="35"/>
        <v>44865</v>
      </c>
      <c r="CG95" s="54">
        <f t="shared" si="35"/>
        <v>44865</v>
      </c>
      <c r="CH95" s="54">
        <f t="shared" si="35"/>
        <v>44865</v>
      </c>
      <c r="CI95" s="54">
        <f t="shared" si="35"/>
        <v>44865</v>
      </c>
      <c r="CJ95" s="54">
        <f t="shared" si="35"/>
        <v>44865</v>
      </c>
      <c r="CK95" s="54">
        <f t="shared" si="35"/>
        <v>44865</v>
      </c>
      <c r="CL95" s="54">
        <f t="shared" ref="CL95:CN95" si="37">$BZ11</f>
        <v>44865</v>
      </c>
      <c r="CM95" s="54">
        <f t="shared" si="37"/>
        <v>44865</v>
      </c>
      <c r="CN95" s="54">
        <f t="shared" si="37"/>
        <v>44865</v>
      </c>
      <c r="CO95" s="54">
        <f t="shared" si="35"/>
        <v>44865</v>
      </c>
      <c r="CP95" s="54">
        <f t="shared" si="35"/>
        <v>44865</v>
      </c>
      <c r="CQ95" s="54">
        <f t="shared" si="35"/>
        <v>44865</v>
      </c>
      <c r="CR95" s="54">
        <f t="shared" si="35"/>
        <v>44865</v>
      </c>
      <c r="CS95" s="54">
        <f t="shared" si="35"/>
        <v>44865</v>
      </c>
      <c r="CT95" s="25">
        <f>$CT11</f>
        <v>44872</v>
      </c>
      <c r="CU95" s="25">
        <f t="shared" ref="CU95:DM95" si="38">$CT11</f>
        <v>44872</v>
      </c>
      <c r="CV95" s="25">
        <f t="shared" si="38"/>
        <v>44872</v>
      </c>
      <c r="CW95" s="25">
        <f t="shared" si="38"/>
        <v>44872</v>
      </c>
      <c r="CX95" s="25">
        <f t="shared" ref="CX95:CY95" si="39">$CT11</f>
        <v>44872</v>
      </c>
      <c r="CY95" s="25">
        <f t="shared" si="39"/>
        <v>44872</v>
      </c>
      <c r="CZ95" s="25">
        <f t="shared" si="38"/>
        <v>44872</v>
      </c>
      <c r="DA95" s="25">
        <f t="shared" si="38"/>
        <v>44872</v>
      </c>
      <c r="DB95" s="25">
        <f t="shared" si="38"/>
        <v>44872</v>
      </c>
      <c r="DC95" s="25">
        <f t="shared" si="38"/>
        <v>44872</v>
      </c>
      <c r="DD95" s="25">
        <f t="shared" si="38"/>
        <v>44872</v>
      </c>
      <c r="DE95" s="25">
        <f t="shared" si="38"/>
        <v>44872</v>
      </c>
      <c r="DF95" s="25">
        <f t="shared" si="38"/>
        <v>44872</v>
      </c>
      <c r="DG95" s="25">
        <f t="shared" si="38"/>
        <v>44872</v>
      </c>
      <c r="DH95" s="25">
        <f t="shared" si="38"/>
        <v>44872</v>
      </c>
      <c r="DI95" s="25">
        <f t="shared" si="38"/>
        <v>44872</v>
      </c>
      <c r="DJ95" s="25">
        <f t="shared" ref="DJ95:DL95" si="40">$CT11</f>
        <v>44872</v>
      </c>
      <c r="DK95" s="25">
        <f t="shared" si="40"/>
        <v>44872</v>
      </c>
      <c r="DL95" s="25">
        <f t="shared" si="40"/>
        <v>44872</v>
      </c>
      <c r="DM95" s="25">
        <f t="shared" si="38"/>
        <v>44872</v>
      </c>
      <c r="DN95" s="25">
        <f>$DN11</f>
        <v>44879</v>
      </c>
      <c r="DO95" s="25">
        <f t="shared" ref="DO95:EG95" si="41">$DN11</f>
        <v>44879</v>
      </c>
      <c r="DP95" s="25">
        <f t="shared" si="41"/>
        <v>44879</v>
      </c>
      <c r="DQ95" s="25">
        <f t="shared" si="41"/>
        <v>44879</v>
      </c>
      <c r="DR95" s="25">
        <f t="shared" si="41"/>
        <v>44879</v>
      </c>
      <c r="DS95" s="25">
        <f t="shared" ref="DS95:DU95" si="42">$DN11</f>
        <v>44879</v>
      </c>
      <c r="DT95" s="25">
        <f t="shared" si="42"/>
        <v>44879</v>
      </c>
      <c r="DU95" s="25">
        <f t="shared" si="42"/>
        <v>44879</v>
      </c>
      <c r="DV95" s="25">
        <f t="shared" si="41"/>
        <v>44879</v>
      </c>
      <c r="DW95" s="25">
        <f t="shared" si="41"/>
        <v>44879</v>
      </c>
      <c r="DX95" s="25">
        <f t="shared" si="41"/>
        <v>44879</v>
      </c>
      <c r="DY95" s="25">
        <f t="shared" si="41"/>
        <v>44879</v>
      </c>
      <c r="DZ95" s="25">
        <f t="shared" ref="DZ95:EA95" si="43">$DN11</f>
        <v>44879</v>
      </c>
      <c r="EA95" s="25">
        <f t="shared" si="43"/>
        <v>44879</v>
      </c>
      <c r="EB95" s="25">
        <f t="shared" si="41"/>
        <v>44879</v>
      </c>
      <c r="EC95" s="25">
        <f t="shared" si="41"/>
        <v>44879</v>
      </c>
      <c r="ED95" s="25">
        <f t="shared" si="41"/>
        <v>44879</v>
      </c>
      <c r="EE95" s="25">
        <f t="shared" si="41"/>
        <v>44879</v>
      </c>
      <c r="EF95" s="25">
        <f t="shared" si="41"/>
        <v>44879</v>
      </c>
      <c r="EG95" s="25">
        <f t="shared" si="41"/>
        <v>44879</v>
      </c>
      <c r="EH95" s="25">
        <f>$EH11</f>
        <v>44886</v>
      </c>
      <c r="EI95" s="25">
        <f t="shared" ref="EI95:FA95" si="44">$EH11</f>
        <v>44886</v>
      </c>
      <c r="EJ95" s="25">
        <f t="shared" si="44"/>
        <v>44886</v>
      </c>
      <c r="EK95" s="25">
        <f t="shared" si="44"/>
        <v>44886</v>
      </c>
      <c r="EL95" s="25">
        <f t="shared" si="44"/>
        <v>44886</v>
      </c>
      <c r="EM95" s="25">
        <f t="shared" si="44"/>
        <v>44886</v>
      </c>
      <c r="EN95" s="25">
        <f t="shared" ref="EN95:EP95" si="45">$EH11</f>
        <v>44886</v>
      </c>
      <c r="EO95" s="25">
        <f t="shared" si="45"/>
        <v>44886</v>
      </c>
      <c r="EP95" s="25">
        <f t="shared" si="45"/>
        <v>44886</v>
      </c>
      <c r="EQ95" s="25">
        <f t="shared" si="44"/>
        <v>44886</v>
      </c>
      <c r="ER95" s="25">
        <f t="shared" si="44"/>
        <v>44886</v>
      </c>
      <c r="ES95" s="25">
        <f t="shared" si="44"/>
        <v>44886</v>
      </c>
      <c r="ET95" s="25">
        <f t="shared" si="44"/>
        <v>44886</v>
      </c>
      <c r="EU95" s="25">
        <f t="shared" si="44"/>
        <v>44886</v>
      </c>
      <c r="EV95" s="25">
        <f t="shared" si="44"/>
        <v>44886</v>
      </c>
      <c r="EW95" s="25">
        <f t="shared" ref="EW95:EX95" si="46">$EH11</f>
        <v>44886</v>
      </c>
      <c r="EX95" s="25">
        <f t="shared" si="46"/>
        <v>44886</v>
      </c>
      <c r="EY95" s="25">
        <f t="shared" si="44"/>
        <v>44886</v>
      </c>
      <c r="EZ95" s="25">
        <f t="shared" si="44"/>
        <v>44886</v>
      </c>
      <c r="FA95" s="25">
        <f t="shared" si="44"/>
        <v>44886</v>
      </c>
      <c r="FB95" s="25">
        <f>$FB11</f>
        <v>44893</v>
      </c>
      <c r="FC95" s="25">
        <f t="shared" ref="FC95:FQ95" si="47">$FB11</f>
        <v>44893</v>
      </c>
      <c r="FD95" s="25">
        <f t="shared" si="47"/>
        <v>44893</v>
      </c>
      <c r="FE95" s="25">
        <f t="shared" si="47"/>
        <v>44893</v>
      </c>
      <c r="FF95" s="25">
        <f t="shared" si="47"/>
        <v>44893</v>
      </c>
      <c r="FG95" s="25">
        <f t="shared" ref="FG95:FI95" si="48">$FB11</f>
        <v>44893</v>
      </c>
      <c r="FH95" s="25">
        <f t="shared" si="48"/>
        <v>44893</v>
      </c>
      <c r="FI95" s="25">
        <f t="shared" si="48"/>
        <v>44893</v>
      </c>
      <c r="FJ95" s="25">
        <f t="shared" si="47"/>
        <v>44893</v>
      </c>
      <c r="FK95" s="25">
        <f t="shared" si="47"/>
        <v>44893</v>
      </c>
      <c r="FL95" s="25">
        <f t="shared" si="47"/>
        <v>44893</v>
      </c>
      <c r="FM95" s="25">
        <f t="shared" si="47"/>
        <v>44893</v>
      </c>
      <c r="FN95" s="25">
        <f t="shared" si="47"/>
        <v>44893</v>
      </c>
      <c r="FO95" s="25">
        <f t="shared" si="47"/>
        <v>44893</v>
      </c>
      <c r="FP95" s="25">
        <f t="shared" si="47"/>
        <v>44893</v>
      </c>
      <c r="FQ95" s="25">
        <f t="shared" si="47"/>
        <v>44893</v>
      </c>
      <c r="FR95" s="25">
        <f t="shared" ref="FR95:FU95" si="49">$FB11</f>
        <v>44893</v>
      </c>
      <c r="FS95" s="25">
        <f t="shared" si="49"/>
        <v>44893</v>
      </c>
      <c r="FT95" s="25">
        <f t="shared" si="49"/>
        <v>44893</v>
      </c>
      <c r="FU95" s="25">
        <f t="shared" si="49"/>
        <v>44893</v>
      </c>
      <c r="FV95" s="25">
        <f>$FV11</f>
        <v>44900</v>
      </c>
      <c r="FW95" s="25">
        <f t="shared" ref="FW95:GO95" si="50">$FV11</f>
        <v>44900</v>
      </c>
      <c r="FX95" s="25">
        <f t="shared" si="50"/>
        <v>44900</v>
      </c>
      <c r="FY95" s="25">
        <f t="shared" si="50"/>
        <v>44900</v>
      </c>
      <c r="FZ95" s="25">
        <f t="shared" si="50"/>
        <v>44900</v>
      </c>
      <c r="GA95" s="25">
        <f t="shared" si="50"/>
        <v>44900</v>
      </c>
      <c r="GB95" s="25">
        <f t="shared" ref="GB95" si="51">$FV11</f>
        <v>44900</v>
      </c>
      <c r="GC95" s="25">
        <f t="shared" si="50"/>
        <v>44900</v>
      </c>
      <c r="GD95" s="25">
        <f t="shared" si="50"/>
        <v>44900</v>
      </c>
      <c r="GE95" s="25">
        <f t="shared" si="50"/>
        <v>44900</v>
      </c>
      <c r="GF95" s="25">
        <f t="shared" si="50"/>
        <v>44900</v>
      </c>
      <c r="GG95" s="25">
        <f t="shared" si="50"/>
        <v>44900</v>
      </c>
      <c r="GH95" s="25">
        <f t="shared" si="50"/>
        <v>44900</v>
      </c>
      <c r="GI95" s="25">
        <f t="shared" si="50"/>
        <v>44900</v>
      </c>
      <c r="GJ95" s="25">
        <f t="shared" si="50"/>
        <v>44900</v>
      </c>
      <c r="GK95" s="25">
        <f t="shared" ref="GK95:GL95" si="52">$FV11</f>
        <v>44900</v>
      </c>
      <c r="GL95" s="25">
        <f t="shared" si="52"/>
        <v>44900</v>
      </c>
      <c r="GM95" s="25">
        <f t="shared" si="50"/>
        <v>44900</v>
      </c>
      <c r="GN95" s="25">
        <f t="shared" si="50"/>
        <v>44900</v>
      </c>
      <c r="GO95" s="25">
        <f t="shared" si="50"/>
        <v>44900</v>
      </c>
      <c r="GP95" s="25">
        <f>$GP11</f>
        <v>44907</v>
      </c>
      <c r="GQ95" s="25">
        <f t="shared" ref="GQ95:HI95" si="53">$GP11</f>
        <v>44907</v>
      </c>
      <c r="GR95" s="25">
        <f t="shared" si="53"/>
        <v>44907</v>
      </c>
      <c r="GS95" s="25">
        <f t="shared" si="53"/>
        <v>44907</v>
      </c>
      <c r="GT95" s="25">
        <f t="shared" si="53"/>
        <v>44907</v>
      </c>
      <c r="GU95" s="25">
        <f t="shared" ref="GU95:GV95" si="54">$GP11</f>
        <v>44907</v>
      </c>
      <c r="GV95" s="25">
        <f t="shared" si="54"/>
        <v>44907</v>
      </c>
      <c r="GW95" s="25">
        <f t="shared" si="53"/>
        <v>44907</v>
      </c>
      <c r="GX95" s="25">
        <f t="shared" si="53"/>
        <v>44907</v>
      </c>
      <c r="GY95" s="25">
        <f t="shared" si="53"/>
        <v>44907</v>
      </c>
      <c r="GZ95" s="25">
        <f t="shared" si="53"/>
        <v>44907</v>
      </c>
      <c r="HA95" s="25">
        <f t="shared" si="53"/>
        <v>44907</v>
      </c>
      <c r="HB95" s="25">
        <f t="shared" si="53"/>
        <v>44907</v>
      </c>
      <c r="HC95" s="25">
        <f t="shared" si="53"/>
        <v>44907</v>
      </c>
      <c r="HD95" s="25">
        <f t="shared" ref="HD95:HF95" si="55">$GP11</f>
        <v>44907</v>
      </c>
      <c r="HE95" s="25">
        <f t="shared" si="55"/>
        <v>44907</v>
      </c>
      <c r="HF95" s="25">
        <f t="shared" si="55"/>
        <v>44907</v>
      </c>
      <c r="HG95" s="25">
        <f t="shared" si="53"/>
        <v>44907</v>
      </c>
      <c r="HH95" s="25">
        <f t="shared" si="53"/>
        <v>44907</v>
      </c>
      <c r="HI95" s="25">
        <f t="shared" si="53"/>
        <v>44907</v>
      </c>
      <c r="HJ95" s="25">
        <f>$HJ11</f>
        <v>44914</v>
      </c>
      <c r="HK95" s="25">
        <f t="shared" ref="HK95:IC95" si="56">$HJ11</f>
        <v>44914</v>
      </c>
      <c r="HL95" s="25">
        <f t="shared" si="56"/>
        <v>44914</v>
      </c>
      <c r="HM95" s="25">
        <f t="shared" si="56"/>
        <v>44914</v>
      </c>
      <c r="HN95" s="25">
        <f t="shared" si="56"/>
        <v>44914</v>
      </c>
      <c r="HO95" s="25">
        <f t="shared" si="56"/>
        <v>44914</v>
      </c>
      <c r="HP95" s="25">
        <f t="shared" si="56"/>
        <v>44914</v>
      </c>
      <c r="HQ95" s="25">
        <f t="shared" si="56"/>
        <v>44914</v>
      </c>
      <c r="HR95" s="25">
        <f t="shared" si="56"/>
        <v>44914</v>
      </c>
      <c r="HS95" s="25">
        <f t="shared" si="56"/>
        <v>44914</v>
      </c>
      <c r="HT95" s="25">
        <f t="shared" si="56"/>
        <v>44914</v>
      </c>
      <c r="HU95" s="25">
        <f t="shared" si="56"/>
        <v>44914</v>
      </c>
      <c r="HV95" s="25">
        <f t="shared" si="56"/>
        <v>44914</v>
      </c>
      <c r="HW95" s="25">
        <f t="shared" si="56"/>
        <v>44914</v>
      </c>
      <c r="HX95" s="25">
        <f t="shared" si="56"/>
        <v>44914</v>
      </c>
      <c r="HY95" s="25">
        <f t="shared" si="56"/>
        <v>44914</v>
      </c>
      <c r="HZ95" s="25">
        <f t="shared" si="56"/>
        <v>44914</v>
      </c>
      <c r="IA95" s="25">
        <f t="shared" si="56"/>
        <v>44914</v>
      </c>
      <c r="IB95" s="25">
        <f t="shared" si="56"/>
        <v>44914</v>
      </c>
      <c r="IC95" s="25">
        <f t="shared" si="56"/>
        <v>44914</v>
      </c>
      <c r="ID95" s="45"/>
    </row>
    <row r="96" spans="1:246" s="36" customFormat="1" outlineLevel="1" x14ac:dyDescent="0.15">
      <c r="A96" s="44"/>
      <c r="D96" s="120"/>
      <c r="E96" s="120"/>
      <c r="F96" s="120"/>
      <c r="H96" s="120"/>
      <c r="I96" s="120"/>
      <c r="J96" s="120"/>
      <c r="K96" s="120"/>
      <c r="R96" s="26">
        <f>$R$12</f>
        <v>1</v>
      </c>
      <c r="S96" s="26">
        <f>$R12</f>
        <v>1</v>
      </c>
      <c r="T96" s="26">
        <f t="shared" ref="T96:AA96" si="57">$R12</f>
        <v>1</v>
      </c>
      <c r="U96" s="26">
        <f t="shared" si="57"/>
        <v>1</v>
      </c>
      <c r="V96" s="26">
        <f t="shared" ref="V96" si="58">$R12</f>
        <v>1</v>
      </c>
      <c r="W96" s="26">
        <f t="shared" si="57"/>
        <v>1</v>
      </c>
      <c r="X96" s="26">
        <f t="shared" si="57"/>
        <v>1</v>
      </c>
      <c r="Y96" s="26">
        <f t="shared" si="57"/>
        <v>1</v>
      </c>
      <c r="Z96" s="26">
        <f t="shared" si="57"/>
        <v>1</v>
      </c>
      <c r="AA96" s="26">
        <f t="shared" si="57"/>
        <v>1</v>
      </c>
      <c r="AB96" s="26">
        <f t="shared" ref="AB96:AK96" si="59">$AB12</f>
        <v>2</v>
      </c>
      <c r="AC96" s="26">
        <f t="shared" si="59"/>
        <v>2</v>
      </c>
      <c r="AD96" s="26">
        <f t="shared" ref="AD96" si="60">$AB12</f>
        <v>2</v>
      </c>
      <c r="AE96" s="26">
        <f t="shared" si="59"/>
        <v>2</v>
      </c>
      <c r="AF96" s="26">
        <f t="shared" si="59"/>
        <v>2</v>
      </c>
      <c r="AG96" s="26">
        <f t="shared" si="59"/>
        <v>2</v>
      </c>
      <c r="AH96" s="26">
        <f t="shared" si="59"/>
        <v>2</v>
      </c>
      <c r="AI96" s="26">
        <f t="shared" si="59"/>
        <v>2</v>
      </c>
      <c r="AJ96" s="26">
        <f t="shared" si="59"/>
        <v>2</v>
      </c>
      <c r="AK96" s="26">
        <f t="shared" si="59"/>
        <v>2</v>
      </c>
      <c r="AL96" s="26">
        <f>$AL12</f>
        <v>1</v>
      </c>
      <c r="AM96" s="26">
        <f t="shared" ref="AM96:AU96" si="61">$AL12</f>
        <v>1</v>
      </c>
      <c r="AN96" s="26">
        <f t="shared" si="61"/>
        <v>1</v>
      </c>
      <c r="AO96" s="26">
        <f t="shared" si="61"/>
        <v>1</v>
      </c>
      <c r="AP96" s="26">
        <f t="shared" si="61"/>
        <v>1</v>
      </c>
      <c r="AQ96" s="26">
        <f t="shared" ref="AQ96" si="62">$AL12</f>
        <v>1</v>
      </c>
      <c r="AR96" s="26">
        <f t="shared" si="61"/>
        <v>1</v>
      </c>
      <c r="AS96" s="26">
        <f t="shared" si="61"/>
        <v>1</v>
      </c>
      <c r="AT96" s="26">
        <f t="shared" si="61"/>
        <v>1</v>
      </c>
      <c r="AU96" s="26">
        <f t="shared" si="61"/>
        <v>1</v>
      </c>
      <c r="AV96" s="26">
        <f>$AV12</f>
        <v>2</v>
      </c>
      <c r="AW96" s="26">
        <f t="shared" ref="AW96:BE96" si="63">$AV12</f>
        <v>2</v>
      </c>
      <c r="AX96" s="26">
        <f t="shared" ref="AX96" si="64">$AV12</f>
        <v>2</v>
      </c>
      <c r="AY96" s="26">
        <f t="shared" si="63"/>
        <v>2</v>
      </c>
      <c r="AZ96" s="26">
        <f t="shared" si="63"/>
        <v>2</v>
      </c>
      <c r="BA96" s="26">
        <f t="shared" si="63"/>
        <v>2</v>
      </c>
      <c r="BB96" s="26">
        <f t="shared" si="63"/>
        <v>2</v>
      </c>
      <c r="BC96" s="26">
        <f t="shared" si="63"/>
        <v>2</v>
      </c>
      <c r="BD96" s="26">
        <f t="shared" si="63"/>
        <v>2</v>
      </c>
      <c r="BE96" s="26">
        <f t="shared" si="63"/>
        <v>2</v>
      </c>
      <c r="BF96" s="26">
        <f>$BF12</f>
        <v>1</v>
      </c>
      <c r="BG96" s="26">
        <f t="shared" ref="BG96:BK96" si="65">$BF12</f>
        <v>1</v>
      </c>
      <c r="BH96" s="26">
        <f t="shared" si="65"/>
        <v>1</v>
      </c>
      <c r="BI96" s="26">
        <f t="shared" si="65"/>
        <v>1</v>
      </c>
      <c r="BJ96" s="26">
        <f t="shared" si="65"/>
        <v>1</v>
      </c>
      <c r="BK96" s="26">
        <f t="shared" si="65"/>
        <v>1</v>
      </c>
      <c r="BL96" s="26">
        <f t="shared" ref="BL96:BO96" si="66">$BF12</f>
        <v>1</v>
      </c>
      <c r="BM96" s="26">
        <f t="shared" si="66"/>
        <v>1</v>
      </c>
      <c r="BN96" s="26">
        <f t="shared" si="66"/>
        <v>1</v>
      </c>
      <c r="BO96" s="26">
        <f t="shared" si="66"/>
        <v>1</v>
      </c>
      <c r="BP96" s="26">
        <f>$BP12</f>
        <v>2</v>
      </c>
      <c r="BQ96" s="26">
        <f t="shared" ref="BQ96:BY96" si="67">$BP12</f>
        <v>2</v>
      </c>
      <c r="BR96" s="26">
        <f t="shared" ref="BR96:BT96" si="68">$BP12</f>
        <v>2</v>
      </c>
      <c r="BS96" s="26">
        <f t="shared" si="68"/>
        <v>2</v>
      </c>
      <c r="BT96" s="26">
        <f t="shared" si="68"/>
        <v>2</v>
      </c>
      <c r="BU96" s="26">
        <f t="shared" si="67"/>
        <v>2</v>
      </c>
      <c r="BV96" s="26">
        <f t="shared" si="67"/>
        <v>2</v>
      </c>
      <c r="BW96" s="26">
        <f t="shared" si="67"/>
        <v>2</v>
      </c>
      <c r="BX96" s="26">
        <f t="shared" si="67"/>
        <v>2</v>
      </c>
      <c r="BY96" s="26">
        <f t="shared" si="67"/>
        <v>2</v>
      </c>
      <c r="BZ96" s="26">
        <f>$R12</f>
        <v>1</v>
      </c>
      <c r="CA96" s="26">
        <f t="shared" ref="CA96:CI96" si="69">$R12</f>
        <v>1</v>
      </c>
      <c r="CB96" s="26">
        <f t="shared" si="69"/>
        <v>1</v>
      </c>
      <c r="CC96" s="26">
        <f t="shared" ref="CC96:CE96" si="70">$R12</f>
        <v>1</v>
      </c>
      <c r="CD96" s="26">
        <f t="shared" si="70"/>
        <v>1</v>
      </c>
      <c r="CE96" s="26">
        <f t="shared" si="70"/>
        <v>1</v>
      </c>
      <c r="CF96" s="26">
        <f t="shared" si="69"/>
        <v>1</v>
      </c>
      <c r="CG96" s="26">
        <f t="shared" si="69"/>
        <v>1</v>
      </c>
      <c r="CH96" s="26">
        <f t="shared" si="69"/>
        <v>1</v>
      </c>
      <c r="CI96" s="26">
        <f t="shared" si="69"/>
        <v>1</v>
      </c>
      <c r="CJ96" s="26">
        <f t="shared" ref="CJ96:CS96" si="71">$AB12</f>
        <v>2</v>
      </c>
      <c r="CK96" s="26">
        <f t="shared" si="71"/>
        <v>2</v>
      </c>
      <c r="CL96" s="26">
        <f t="shared" ref="CL96:CN96" si="72">$AB12</f>
        <v>2</v>
      </c>
      <c r="CM96" s="26">
        <f t="shared" si="72"/>
        <v>2</v>
      </c>
      <c r="CN96" s="26">
        <f t="shared" si="72"/>
        <v>2</v>
      </c>
      <c r="CO96" s="26">
        <f t="shared" si="71"/>
        <v>2</v>
      </c>
      <c r="CP96" s="26">
        <f t="shared" si="71"/>
        <v>2</v>
      </c>
      <c r="CQ96" s="26">
        <f t="shared" si="71"/>
        <v>2</v>
      </c>
      <c r="CR96" s="26">
        <f t="shared" si="71"/>
        <v>2</v>
      </c>
      <c r="CS96" s="26">
        <f t="shared" si="71"/>
        <v>2</v>
      </c>
      <c r="CT96" s="26">
        <f>$R12</f>
        <v>1</v>
      </c>
      <c r="CU96" s="26">
        <f t="shared" ref="CU96:DC96" si="73">$R12</f>
        <v>1</v>
      </c>
      <c r="CV96" s="26">
        <f t="shared" si="73"/>
        <v>1</v>
      </c>
      <c r="CW96" s="26">
        <f t="shared" si="73"/>
        <v>1</v>
      </c>
      <c r="CX96" s="26">
        <f t="shared" ref="CX96:CY96" si="74">$R12</f>
        <v>1</v>
      </c>
      <c r="CY96" s="26">
        <f t="shared" si="74"/>
        <v>1</v>
      </c>
      <c r="CZ96" s="26">
        <f t="shared" si="73"/>
        <v>1</v>
      </c>
      <c r="DA96" s="26">
        <f t="shared" si="73"/>
        <v>1</v>
      </c>
      <c r="DB96" s="26">
        <f t="shared" si="73"/>
        <v>1</v>
      </c>
      <c r="DC96" s="26">
        <f t="shared" si="73"/>
        <v>1</v>
      </c>
      <c r="DD96" s="26">
        <f t="shared" ref="DD96:DM96" si="75">$AB12</f>
        <v>2</v>
      </c>
      <c r="DE96" s="26">
        <f t="shared" si="75"/>
        <v>2</v>
      </c>
      <c r="DF96" s="26">
        <f t="shared" si="75"/>
        <v>2</v>
      </c>
      <c r="DG96" s="26">
        <f t="shared" si="75"/>
        <v>2</v>
      </c>
      <c r="DH96" s="26">
        <f t="shared" si="75"/>
        <v>2</v>
      </c>
      <c r="DI96" s="26">
        <f t="shared" si="75"/>
        <v>2</v>
      </c>
      <c r="DJ96" s="26">
        <f t="shared" ref="DJ96:DL96" si="76">$AB12</f>
        <v>2</v>
      </c>
      <c r="DK96" s="26">
        <f t="shared" si="76"/>
        <v>2</v>
      </c>
      <c r="DL96" s="26">
        <f t="shared" si="76"/>
        <v>2</v>
      </c>
      <c r="DM96" s="26">
        <f t="shared" si="75"/>
        <v>2</v>
      </c>
      <c r="DN96" s="26">
        <f>$R12</f>
        <v>1</v>
      </c>
      <c r="DO96" s="26">
        <f t="shared" ref="DO96:DW96" si="77">$R12</f>
        <v>1</v>
      </c>
      <c r="DP96" s="26">
        <f t="shared" si="77"/>
        <v>1</v>
      </c>
      <c r="DQ96" s="26">
        <f t="shared" si="77"/>
        <v>1</v>
      </c>
      <c r="DR96" s="26">
        <f t="shared" si="77"/>
        <v>1</v>
      </c>
      <c r="DS96" s="26">
        <f t="shared" ref="DS96:DU96" si="78">$R12</f>
        <v>1</v>
      </c>
      <c r="DT96" s="26">
        <f t="shared" si="78"/>
        <v>1</v>
      </c>
      <c r="DU96" s="26">
        <f t="shared" si="78"/>
        <v>1</v>
      </c>
      <c r="DV96" s="26">
        <f t="shared" si="77"/>
        <v>1</v>
      </c>
      <c r="DW96" s="26">
        <f t="shared" si="77"/>
        <v>1</v>
      </c>
      <c r="DX96" s="26">
        <f t="shared" ref="DX96:EG96" si="79">$AB12</f>
        <v>2</v>
      </c>
      <c r="DY96" s="26">
        <f t="shared" si="79"/>
        <v>2</v>
      </c>
      <c r="DZ96" s="26">
        <f t="shared" ref="DZ96:EA96" si="80">$AB12</f>
        <v>2</v>
      </c>
      <c r="EA96" s="26">
        <f t="shared" si="80"/>
        <v>2</v>
      </c>
      <c r="EB96" s="26">
        <f t="shared" si="79"/>
        <v>2</v>
      </c>
      <c r="EC96" s="26">
        <f t="shared" si="79"/>
        <v>2</v>
      </c>
      <c r="ED96" s="26">
        <f t="shared" si="79"/>
        <v>2</v>
      </c>
      <c r="EE96" s="26">
        <f t="shared" si="79"/>
        <v>2</v>
      </c>
      <c r="EF96" s="26">
        <f t="shared" si="79"/>
        <v>2</v>
      </c>
      <c r="EG96" s="26">
        <f t="shared" si="79"/>
        <v>2</v>
      </c>
      <c r="EH96" s="26">
        <f>$R12</f>
        <v>1</v>
      </c>
      <c r="EI96" s="26">
        <f t="shared" ref="EI96:EQ96" si="81">$R12</f>
        <v>1</v>
      </c>
      <c r="EJ96" s="26">
        <f t="shared" si="81"/>
        <v>1</v>
      </c>
      <c r="EK96" s="26">
        <f t="shared" si="81"/>
        <v>1</v>
      </c>
      <c r="EL96" s="26">
        <f t="shared" si="81"/>
        <v>1</v>
      </c>
      <c r="EM96" s="26">
        <f t="shared" si="81"/>
        <v>1</v>
      </c>
      <c r="EN96" s="26">
        <f t="shared" ref="EN96:EP96" si="82">$R12</f>
        <v>1</v>
      </c>
      <c r="EO96" s="26">
        <f t="shared" si="82"/>
        <v>1</v>
      </c>
      <c r="EP96" s="26">
        <f t="shared" si="82"/>
        <v>1</v>
      </c>
      <c r="EQ96" s="26">
        <f t="shared" si="81"/>
        <v>1</v>
      </c>
      <c r="ER96" s="26">
        <f t="shared" ref="ER96:FA96" si="83">$AB12</f>
        <v>2</v>
      </c>
      <c r="ES96" s="26">
        <f t="shared" si="83"/>
        <v>2</v>
      </c>
      <c r="ET96" s="26">
        <f t="shared" si="83"/>
        <v>2</v>
      </c>
      <c r="EU96" s="26">
        <f t="shared" si="83"/>
        <v>2</v>
      </c>
      <c r="EV96" s="26">
        <f t="shared" si="83"/>
        <v>2</v>
      </c>
      <c r="EW96" s="26">
        <f t="shared" ref="EW96:EX96" si="84">$AB12</f>
        <v>2</v>
      </c>
      <c r="EX96" s="26">
        <f t="shared" si="84"/>
        <v>2</v>
      </c>
      <c r="EY96" s="26">
        <f t="shared" si="83"/>
        <v>2</v>
      </c>
      <c r="EZ96" s="26">
        <f t="shared" si="83"/>
        <v>2</v>
      </c>
      <c r="FA96" s="26">
        <f t="shared" si="83"/>
        <v>2</v>
      </c>
      <c r="FB96" s="26">
        <f>$R12</f>
        <v>1</v>
      </c>
      <c r="FC96" s="26">
        <f t="shared" ref="FC96:FK96" si="85">$R12</f>
        <v>1</v>
      </c>
      <c r="FD96" s="26">
        <f t="shared" si="85"/>
        <v>1</v>
      </c>
      <c r="FE96" s="26">
        <f t="shared" si="85"/>
        <v>1</v>
      </c>
      <c r="FF96" s="26">
        <f t="shared" si="85"/>
        <v>1</v>
      </c>
      <c r="FG96" s="26">
        <f t="shared" ref="FG96:FI96" si="86">$R12</f>
        <v>1</v>
      </c>
      <c r="FH96" s="26">
        <f t="shared" si="86"/>
        <v>1</v>
      </c>
      <c r="FI96" s="26">
        <f t="shared" si="86"/>
        <v>1</v>
      </c>
      <c r="FJ96" s="26">
        <f t="shared" si="85"/>
        <v>1</v>
      </c>
      <c r="FK96" s="26">
        <f t="shared" si="85"/>
        <v>1</v>
      </c>
      <c r="FL96" s="26">
        <f t="shared" ref="FL96:FQ96" si="87">$AB12</f>
        <v>2</v>
      </c>
      <c r="FM96" s="26">
        <f t="shared" si="87"/>
        <v>2</v>
      </c>
      <c r="FN96" s="26">
        <f t="shared" si="87"/>
        <v>2</v>
      </c>
      <c r="FO96" s="26">
        <f t="shared" si="87"/>
        <v>2</v>
      </c>
      <c r="FP96" s="26">
        <f t="shared" si="87"/>
        <v>2</v>
      </c>
      <c r="FQ96" s="26">
        <f t="shared" si="87"/>
        <v>2</v>
      </c>
      <c r="FR96" s="26">
        <f t="shared" ref="FR96:FU96" si="88">$AB12</f>
        <v>2</v>
      </c>
      <c r="FS96" s="26">
        <f t="shared" si="88"/>
        <v>2</v>
      </c>
      <c r="FT96" s="26">
        <f t="shared" si="88"/>
        <v>2</v>
      </c>
      <c r="FU96" s="26">
        <f t="shared" si="88"/>
        <v>2</v>
      </c>
      <c r="FV96" s="26">
        <f>$R12</f>
        <v>1</v>
      </c>
      <c r="FW96" s="26">
        <f t="shared" ref="FW96:GE96" si="89">$R12</f>
        <v>1</v>
      </c>
      <c r="FX96" s="26">
        <f t="shared" si="89"/>
        <v>1</v>
      </c>
      <c r="FY96" s="26">
        <f t="shared" si="89"/>
        <v>1</v>
      </c>
      <c r="FZ96" s="26">
        <f t="shared" si="89"/>
        <v>1</v>
      </c>
      <c r="GA96" s="26">
        <f t="shared" si="89"/>
        <v>1</v>
      </c>
      <c r="GB96" s="26">
        <f t="shared" ref="GB96" si="90">$R12</f>
        <v>1</v>
      </c>
      <c r="GC96" s="26">
        <f t="shared" si="89"/>
        <v>1</v>
      </c>
      <c r="GD96" s="26">
        <f t="shared" si="89"/>
        <v>1</v>
      </c>
      <c r="GE96" s="26">
        <f t="shared" si="89"/>
        <v>1</v>
      </c>
      <c r="GF96" s="26">
        <f t="shared" ref="GF96:GO96" si="91">$AB12</f>
        <v>2</v>
      </c>
      <c r="GG96" s="26">
        <f t="shared" si="91"/>
        <v>2</v>
      </c>
      <c r="GH96" s="26">
        <f t="shared" si="91"/>
        <v>2</v>
      </c>
      <c r="GI96" s="26">
        <f t="shared" si="91"/>
        <v>2</v>
      </c>
      <c r="GJ96" s="26">
        <f t="shared" si="91"/>
        <v>2</v>
      </c>
      <c r="GK96" s="26">
        <f t="shared" ref="GK96:GL96" si="92">$AB12</f>
        <v>2</v>
      </c>
      <c r="GL96" s="26">
        <f t="shared" si="92"/>
        <v>2</v>
      </c>
      <c r="GM96" s="26">
        <f t="shared" si="91"/>
        <v>2</v>
      </c>
      <c r="GN96" s="26">
        <f t="shared" si="91"/>
        <v>2</v>
      </c>
      <c r="GO96" s="26">
        <f t="shared" si="91"/>
        <v>2</v>
      </c>
      <c r="GP96" s="26">
        <f>$R12</f>
        <v>1</v>
      </c>
      <c r="GQ96" s="26">
        <f t="shared" ref="GQ96:GY96" si="93">$R12</f>
        <v>1</v>
      </c>
      <c r="GR96" s="26">
        <f t="shared" si="93"/>
        <v>1</v>
      </c>
      <c r="GS96" s="26">
        <f t="shared" si="93"/>
        <v>1</v>
      </c>
      <c r="GT96" s="26">
        <f t="shared" si="93"/>
        <v>1</v>
      </c>
      <c r="GU96" s="26">
        <f t="shared" ref="GU96:GV96" si="94">$R12</f>
        <v>1</v>
      </c>
      <c r="GV96" s="26">
        <f t="shared" si="94"/>
        <v>1</v>
      </c>
      <c r="GW96" s="26">
        <f t="shared" si="93"/>
        <v>1</v>
      </c>
      <c r="GX96" s="26">
        <f t="shared" si="93"/>
        <v>1</v>
      </c>
      <c r="GY96" s="26">
        <f t="shared" si="93"/>
        <v>1</v>
      </c>
      <c r="GZ96" s="26">
        <f t="shared" ref="GZ96:HI96" si="95">$AB12</f>
        <v>2</v>
      </c>
      <c r="HA96" s="26">
        <f t="shared" si="95"/>
        <v>2</v>
      </c>
      <c r="HB96" s="26">
        <f t="shared" si="95"/>
        <v>2</v>
      </c>
      <c r="HC96" s="26">
        <f t="shared" si="95"/>
        <v>2</v>
      </c>
      <c r="HD96" s="26">
        <f t="shared" ref="HD96:HF96" si="96">$AB12</f>
        <v>2</v>
      </c>
      <c r="HE96" s="26">
        <f t="shared" si="96"/>
        <v>2</v>
      </c>
      <c r="HF96" s="26">
        <f t="shared" si="96"/>
        <v>2</v>
      </c>
      <c r="HG96" s="26">
        <f t="shared" si="95"/>
        <v>2</v>
      </c>
      <c r="HH96" s="26">
        <f t="shared" si="95"/>
        <v>2</v>
      </c>
      <c r="HI96" s="26">
        <f t="shared" si="95"/>
        <v>2</v>
      </c>
      <c r="HJ96" s="26">
        <f>$R12</f>
        <v>1</v>
      </c>
      <c r="HK96" s="26">
        <f t="shared" ref="HK96:HS96" si="97">$R12</f>
        <v>1</v>
      </c>
      <c r="HL96" s="26">
        <f t="shared" si="97"/>
        <v>1</v>
      </c>
      <c r="HM96" s="26">
        <f t="shared" si="97"/>
        <v>1</v>
      </c>
      <c r="HN96" s="26">
        <f t="shared" si="97"/>
        <v>1</v>
      </c>
      <c r="HO96" s="26">
        <f t="shared" si="97"/>
        <v>1</v>
      </c>
      <c r="HP96" s="26">
        <f t="shared" si="97"/>
        <v>1</v>
      </c>
      <c r="HQ96" s="26">
        <f t="shared" si="97"/>
        <v>1</v>
      </c>
      <c r="HR96" s="26">
        <f t="shared" si="97"/>
        <v>1</v>
      </c>
      <c r="HS96" s="26">
        <f t="shared" si="97"/>
        <v>1</v>
      </c>
      <c r="HT96" s="26">
        <f t="shared" ref="HT96:IC96" si="98">$AB12</f>
        <v>2</v>
      </c>
      <c r="HU96" s="26">
        <f t="shared" si="98"/>
        <v>2</v>
      </c>
      <c r="HV96" s="26">
        <f t="shared" si="98"/>
        <v>2</v>
      </c>
      <c r="HW96" s="26">
        <f t="shared" si="98"/>
        <v>2</v>
      </c>
      <c r="HX96" s="26">
        <f t="shared" si="98"/>
        <v>2</v>
      </c>
      <c r="HY96" s="26">
        <f t="shared" si="98"/>
        <v>2</v>
      </c>
      <c r="HZ96" s="26">
        <f t="shared" si="98"/>
        <v>2</v>
      </c>
      <c r="IA96" s="26">
        <f t="shared" si="98"/>
        <v>2</v>
      </c>
      <c r="IB96" s="26">
        <f t="shared" si="98"/>
        <v>2</v>
      </c>
      <c r="IC96" s="26">
        <f t="shared" si="98"/>
        <v>2</v>
      </c>
      <c r="ID96" s="45"/>
    </row>
    <row r="97" spans="1:238" s="36" customFormat="1" outlineLevel="1" x14ac:dyDescent="0.15">
      <c r="A97" s="44"/>
      <c r="D97" s="120"/>
      <c r="E97" s="120"/>
      <c r="F97" s="120"/>
      <c r="H97" s="120"/>
      <c r="I97" s="120"/>
      <c r="J97" s="120"/>
      <c r="K97" s="120"/>
      <c r="R97" s="26">
        <v>10</v>
      </c>
      <c r="S97" s="26">
        <v>20</v>
      </c>
      <c r="T97" s="26">
        <v>30</v>
      </c>
      <c r="U97" s="26">
        <v>40</v>
      </c>
      <c r="V97" s="26">
        <v>50</v>
      </c>
      <c r="W97" s="26">
        <v>60</v>
      </c>
      <c r="X97" s="26">
        <v>70</v>
      </c>
      <c r="Y97" s="26">
        <v>80</v>
      </c>
      <c r="Z97" s="26">
        <v>90</v>
      </c>
      <c r="AA97" s="26">
        <v>100</v>
      </c>
      <c r="AB97" s="26">
        <v>10</v>
      </c>
      <c r="AC97" s="26">
        <v>20</v>
      </c>
      <c r="AD97" s="26">
        <v>30</v>
      </c>
      <c r="AE97" s="26">
        <v>40</v>
      </c>
      <c r="AF97" s="26">
        <v>50</v>
      </c>
      <c r="AG97" s="26">
        <v>60</v>
      </c>
      <c r="AH97" s="26">
        <v>70</v>
      </c>
      <c r="AI97" s="26">
        <v>80</v>
      </c>
      <c r="AJ97" s="26">
        <v>90</v>
      </c>
      <c r="AK97" s="26">
        <v>100</v>
      </c>
      <c r="AL97" s="26">
        <v>10</v>
      </c>
      <c r="AM97" s="26">
        <v>20</v>
      </c>
      <c r="AN97" s="26">
        <v>30</v>
      </c>
      <c r="AO97" s="26">
        <v>40</v>
      </c>
      <c r="AP97" s="26">
        <v>50</v>
      </c>
      <c r="AQ97" s="26">
        <v>60</v>
      </c>
      <c r="AR97" s="26">
        <v>70</v>
      </c>
      <c r="AS97" s="26">
        <v>80</v>
      </c>
      <c r="AT97" s="26">
        <v>90</v>
      </c>
      <c r="AU97" s="26">
        <v>100</v>
      </c>
      <c r="AV97" s="26">
        <v>10</v>
      </c>
      <c r="AW97" s="26">
        <v>20</v>
      </c>
      <c r="AX97" s="26">
        <v>30</v>
      </c>
      <c r="AY97" s="26">
        <v>40</v>
      </c>
      <c r="AZ97" s="26">
        <v>50</v>
      </c>
      <c r="BA97" s="26">
        <v>60</v>
      </c>
      <c r="BB97" s="26">
        <v>70</v>
      </c>
      <c r="BC97" s="26">
        <v>80</v>
      </c>
      <c r="BD97" s="26">
        <v>90</v>
      </c>
      <c r="BE97" s="26">
        <v>100</v>
      </c>
      <c r="BF97" s="26">
        <v>10</v>
      </c>
      <c r="BG97" s="26">
        <v>20</v>
      </c>
      <c r="BH97" s="26">
        <v>30</v>
      </c>
      <c r="BI97" s="26">
        <v>40</v>
      </c>
      <c r="BJ97" s="26">
        <v>50</v>
      </c>
      <c r="BK97" s="26">
        <v>60</v>
      </c>
      <c r="BL97" s="26">
        <v>70</v>
      </c>
      <c r="BM97" s="26">
        <v>80</v>
      </c>
      <c r="BN97" s="26">
        <v>90</v>
      </c>
      <c r="BO97" s="26">
        <v>100</v>
      </c>
      <c r="BP97" s="26">
        <v>10</v>
      </c>
      <c r="BQ97" s="26">
        <v>20</v>
      </c>
      <c r="BR97" s="26">
        <v>30</v>
      </c>
      <c r="BS97" s="26">
        <v>40</v>
      </c>
      <c r="BT97" s="26">
        <v>50</v>
      </c>
      <c r="BU97" s="26">
        <v>60</v>
      </c>
      <c r="BV97" s="26">
        <v>70</v>
      </c>
      <c r="BW97" s="26">
        <v>80</v>
      </c>
      <c r="BX97" s="26">
        <v>90</v>
      </c>
      <c r="BY97" s="26">
        <v>100</v>
      </c>
      <c r="BZ97" s="26">
        <v>10</v>
      </c>
      <c r="CA97" s="26">
        <v>20</v>
      </c>
      <c r="CB97" s="26">
        <v>30</v>
      </c>
      <c r="CC97" s="26">
        <v>40</v>
      </c>
      <c r="CD97" s="26">
        <v>50</v>
      </c>
      <c r="CE97" s="26">
        <v>60</v>
      </c>
      <c r="CF97" s="26">
        <v>70</v>
      </c>
      <c r="CG97" s="26">
        <v>80</v>
      </c>
      <c r="CH97" s="26">
        <v>90</v>
      </c>
      <c r="CI97" s="26">
        <v>100</v>
      </c>
      <c r="CJ97" s="26">
        <v>10</v>
      </c>
      <c r="CK97" s="26">
        <v>20</v>
      </c>
      <c r="CL97" s="26">
        <v>30</v>
      </c>
      <c r="CM97" s="26">
        <v>40</v>
      </c>
      <c r="CN97" s="26">
        <v>50</v>
      </c>
      <c r="CO97" s="26">
        <v>60</v>
      </c>
      <c r="CP97" s="26">
        <v>70</v>
      </c>
      <c r="CQ97" s="26">
        <v>80</v>
      </c>
      <c r="CR97" s="26">
        <v>90</v>
      </c>
      <c r="CS97" s="26">
        <v>100</v>
      </c>
      <c r="CT97" s="26">
        <v>10</v>
      </c>
      <c r="CU97" s="26">
        <v>20</v>
      </c>
      <c r="CV97" s="26">
        <v>30</v>
      </c>
      <c r="CW97" s="26">
        <v>40</v>
      </c>
      <c r="CX97" s="26">
        <v>50</v>
      </c>
      <c r="CY97" s="26">
        <v>60</v>
      </c>
      <c r="CZ97" s="26">
        <v>70</v>
      </c>
      <c r="DA97" s="26">
        <v>80</v>
      </c>
      <c r="DB97" s="26">
        <v>90</v>
      </c>
      <c r="DC97" s="26">
        <v>100</v>
      </c>
      <c r="DD97" s="26">
        <v>10</v>
      </c>
      <c r="DE97" s="26">
        <v>20</v>
      </c>
      <c r="DF97" s="26">
        <v>30</v>
      </c>
      <c r="DG97" s="26">
        <v>40</v>
      </c>
      <c r="DH97" s="26">
        <v>50</v>
      </c>
      <c r="DI97" s="26">
        <v>60</v>
      </c>
      <c r="DJ97" s="26">
        <v>70</v>
      </c>
      <c r="DK97" s="26">
        <v>80</v>
      </c>
      <c r="DL97" s="26">
        <v>90</v>
      </c>
      <c r="DM97" s="26">
        <v>100</v>
      </c>
      <c r="DN97" s="26">
        <v>10</v>
      </c>
      <c r="DO97" s="26">
        <v>20</v>
      </c>
      <c r="DP97" s="26">
        <v>30</v>
      </c>
      <c r="DQ97" s="26">
        <v>40</v>
      </c>
      <c r="DR97" s="26">
        <v>50</v>
      </c>
      <c r="DS97" s="26">
        <v>60</v>
      </c>
      <c r="DT97" s="26">
        <v>70</v>
      </c>
      <c r="DU97" s="26">
        <v>80</v>
      </c>
      <c r="DV97" s="26">
        <v>90</v>
      </c>
      <c r="DW97" s="26">
        <v>100</v>
      </c>
      <c r="DX97" s="26">
        <v>10</v>
      </c>
      <c r="DY97" s="26">
        <v>20</v>
      </c>
      <c r="DZ97" s="26">
        <v>30</v>
      </c>
      <c r="EA97" s="26">
        <v>40</v>
      </c>
      <c r="EB97" s="26">
        <v>50</v>
      </c>
      <c r="EC97" s="26">
        <v>60</v>
      </c>
      <c r="ED97" s="26">
        <v>70</v>
      </c>
      <c r="EE97" s="26">
        <v>80</v>
      </c>
      <c r="EF97" s="26">
        <v>90</v>
      </c>
      <c r="EG97" s="26">
        <v>100</v>
      </c>
      <c r="EH97" s="26">
        <v>10</v>
      </c>
      <c r="EI97" s="26">
        <v>20</v>
      </c>
      <c r="EJ97" s="26">
        <v>30</v>
      </c>
      <c r="EK97" s="26">
        <v>40</v>
      </c>
      <c r="EL97" s="26">
        <v>50</v>
      </c>
      <c r="EM97" s="26">
        <v>60</v>
      </c>
      <c r="EN97" s="26">
        <v>70</v>
      </c>
      <c r="EO97" s="26">
        <v>80</v>
      </c>
      <c r="EP97" s="26">
        <v>90</v>
      </c>
      <c r="EQ97" s="26">
        <v>100</v>
      </c>
      <c r="ER97" s="26">
        <v>10</v>
      </c>
      <c r="ES97" s="26">
        <v>20</v>
      </c>
      <c r="ET97" s="26">
        <v>30</v>
      </c>
      <c r="EU97" s="26">
        <v>40</v>
      </c>
      <c r="EV97" s="26">
        <v>50</v>
      </c>
      <c r="EW97" s="26">
        <v>60</v>
      </c>
      <c r="EX97" s="26">
        <v>70</v>
      </c>
      <c r="EY97" s="26">
        <v>80</v>
      </c>
      <c r="EZ97" s="26">
        <v>90</v>
      </c>
      <c r="FA97" s="26">
        <v>100</v>
      </c>
      <c r="FB97" s="26">
        <v>10</v>
      </c>
      <c r="FC97" s="26">
        <v>20</v>
      </c>
      <c r="FD97" s="26">
        <v>30</v>
      </c>
      <c r="FE97" s="26">
        <v>40</v>
      </c>
      <c r="FF97" s="26">
        <v>50</v>
      </c>
      <c r="FG97" s="26">
        <v>60</v>
      </c>
      <c r="FH97" s="26">
        <v>70</v>
      </c>
      <c r="FI97" s="26">
        <v>80</v>
      </c>
      <c r="FJ97" s="26">
        <v>90</v>
      </c>
      <c r="FK97" s="26">
        <v>100</v>
      </c>
      <c r="FL97" s="26">
        <v>10</v>
      </c>
      <c r="FM97" s="26">
        <v>20</v>
      </c>
      <c r="FN97" s="26">
        <v>30</v>
      </c>
      <c r="FO97" s="26">
        <v>40</v>
      </c>
      <c r="FP97" s="26">
        <v>50</v>
      </c>
      <c r="FQ97" s="26">
        <v>60</v>
      </c>
      <c r="FR97" s="26">
        <v>70</v>
      </c>
      <c r="FS97" s="26">
        <v>80</v>
      </c>
      <c r="FT97" s="26">
        <v>90</v>
      </c>
      <c r="FU97" s="26">
        <v>100</v>
      </c>
      <c r="FV97" s="26">
        <v>10</v>
      </c>
      <c r="FW97" s="26">
        <v>20</v>
      </c>
      <c r="FX97" s="26">
        <v>30</v>
      </c>
      <c r="FY97" s="26">
        <v>40</v>
      </c>
      <c r="FZ97" s="26">
        <v>50</v>
      </c>
      <c r="GA97" s="26">
        <v>60</v>
      </c>
      <c r="GB97" s="26">
        <v>70</v>
      </c>
      <c r="GC97" s="26">
        <v>80</v>
      </c>
      <c r="GD97" s="26">
        <v>90</v>
      </c>
      <c r="GE97" s="26">
        <v>100</v>
      </c>
      <c r="GF97" s="26">
        <v>10</v>
      </c>
      <c r="GG97" s="26">
        <v>20</v>
      </c>
      <c r="GH97" s="26">
        <v>30</v>
      </c>
      <c r="GI97" s="26">
        <v>40</v>
      </c>
      <c r="GJ97" s="26">
        <v>50</v>
      </c>
      <c r="GK97" s="26">
        <v>60</v>
      </c>
      <c r="GL97" s="26">
        <v>70</v>
      </c>
      <c r="GM97" s="26">
        <v>80</v>
      </c>
      <c r="GN97" s="26">
        <v>90</v>
      </c>
      <c r="GO97" s="26">
        <v>100</v>
      </c>
      <c r="GP97" s="26">
        <v>10</v>
      </c>
      <c r="GQ97" s="26">
        <v>20</v>
      </c>
      <c r="GR97" s="26">
        <v>30</v>
      </c>
      <c r="GS97" s="26">
        <v>40</v>
      </c>
      <c r="GT97" s="26">
        <v>50</v>
      </c>
      <c r="GU97" s="26">
        <v>60</v>
      </c>
      <c r="GV97" s="26">
        <v>70</v>
      </c>
      <c r="GW97" s="26">
        <v>80</v>
      </c>
      <c r="GX97" s="26">
        <v>90</v>
      </c>
      <c r="GY97" s="26">
        <v>100</v>
      </c>
      <c r="GZ97" s="26">
        <v>10</v>
      </c>
      <c r="HA97" s="26">
        <v>20</v>
      </c>
      <c r="HB97" s="26">
        <v>30</v>
      </c>
      <c r="HC97" s="26">
        <v>40</v>
      </c>
      <c r="HD97" s="26">
        <v>50</v>
      </c>
      <c r="HE97" s="26">
        <v>60</v>
      </c>
      <c r="HF97" s="26">
        <v>70</v>
      </c>
      <c r="HG97" s="26">
        <v>80</v>
      </c>
      <c r="HH97" s="26">
        <v>90</v>
      </c>
      <c r="HI97" s="26">
        <v>100</v>
      </c>
      <c r="HJ97" s="26">
        <v>10</v>
      </c>
      <c r="HK97" s="26">
        <v>20</v>
      </c>
      <c r="HL97" s="26">
        <v>30</v>
      </c>
      <c r="HM97" s="26">
        <v>40</v>
      </c>
      <c r="HN97" s="26">
        <v>50</v>
      </c>
      <c r="HO97" s="26">
        <v>60</v>
      </c>
      <c r="HP97" s="26">
        <v>70</v>
      </c>
      <c r="HQ97" s="26">
        <v>80</v>
      </c>
      <c r="HR97" s="26">
        <v>90</v>
      </c>
      <c r="HS97" s="26">
        <v>100</v>
      </c>
      <c r="HT97" s="26">
        <v>10</v>
      </c>
      <c r="HU97" s="26">
        <v>20</v>
      </c>
      <c r="HV97" s="26">
        <v>30</v>
      </c>
      <c r="HW97" s="26">
        <v>40</v>
      </c>
      <c r="HX97" s="26">
        <v>50</v>
      </c>
      <c r="HY97" s="26">
        <v>60</v>
      </c>
      <c r="HZ97" s="26">
        <v>70</v>
      </c>
      <c r="IA97" s="26">
        <v>80</v>
      </c>
      <c r="IB97" s="26">
        <v>90</v>
      </c>
      <c r="IC97" s="26">
        <v>100</v>
      </c>
      <c r="ID97" s="45"/>
    </row>
    <row r="98" spans="1:238" s="46" customFormat="1" ht="12" outlineLevel="1" x14ac:dyDescent="0.15">
      <c r="D98" s="120"/>
      <c r="E98" s="120"/>
      <c r="F98" s="120"/>
      <c r="H98" s="120"/>
      <c r="I98" s="120"/>
      <c r="J98" s="120"/>
      <c r="K98" s="120"/>
      <c r="O98" s="44"/>
      <c r="P98" s="53" t="s">
        <v>102</v>
      </c>
      <c r="R98" s="49">
        <f>VLOOKUP(R96,開始時間,2)</f>
        <v>0.375</v>
      </c>
      <c r="S98" s="47">
        <f>R98</f>
        <v>0.375</v>
      </c>
      <c r="T98" s="47">
        <f t="shared" ref="T98:AJ98" si="99">S98</f>
        <v>0.375</v>
      </c>
      <c r="U98" s="47">
        <f t="shared" si="99"/>
        <v>0.375</v>
      </c>
      <c r="V98" s="47">
        <f t="shared" si="99"/>
        <v>0.375</v>
      </c>
      <c r="W98" s="47">
        <f>U98</f>
        <v>0.375</v>
      </c>
      <c r="X98" s="47">
        <f t="shared" si="99"/>
        <v>0.375</v>
      </c>
      <c r="Y98" s="47">
        <f t="shared" si="99"/>
        <v>0.375</v>
      </c>
      <c r="Z98" s="47">
        <f t="shared" si="99"/>
        <v>0.375</v>
      </c>
      <c r="AA98" s="50">
        <f t="shared" si="99"/>
        <v>0.375</v>
      </c>
      <c r="AB98" s="49">
        <f>VLOOKUP(AB96,開始時間,2)</f>
        <v>0.45833333333333331</v>
      </c>
      <c r="AC98" s="47">
        <f t="shared" si="99"/>
        <v>0.45833333333333331</v>
      </c>
      <c r="AD98" s="47">
        <f t="shared" si="99"/>
        <v>0.45833333333333331</v>
      </c>
      <c r="AE98" s="47">
        <f>AC98</f>
        <v>0.45833333333333331</v>
      </c>
      <c r="AF98" s="47">
        <f t="shared" si="99"/>
        <v>0.45833333333333331</v>
      </c>
      <c r="AG98" s="47">
        <f t="shared" si="99"/>
        <v>0.45833333333333331</v>
      </c>
      <c r="AH98" s="47">
        <f t="shared" si="99"/>
        <v>0.45833333333333331</v>
      </c>
      <c r="AI98" s="47">
        <f t="shared" si="99"/>
        <v>0.45833333333333331</v>
      </c>
      <c r="AJ98" s="47">
        <f t="shared" si="99"/>
        <v>0.45833333333333331</v>
      </c>
      <c r="AK98" s="47">
        <f>AJ98</f>
        <v>0.45833333333333331</v>
      </c>
      <c r="AL98" s="49">
        <f>VLOOKUP(AL96,開始時間,2)</f>
        <v>0.375</v>
      </c>
      <c r="AM98" s="47">
        <f>AL98</f>
        <v>0.375</v>
      </c>
      <c r="AN98" s="47">
        <f t="shared" ref="AN98:BE98" si="100">AM98</f>
        <v>0.375</v>
      </c>
      <c r="AO98" s="47">
        <f t="shared" si="100"/>
        <v>0.375</v>
      </c>
      <c r="AP98" s="47">
        <f t="shared" si="100"/>
        <v>0.375</v>
      </c>
      <c r="AQ98" s="47">
        <f t="shared" si="100"/>
        <v>0.375</v>
      </c>
      <c r="AR98" s="47">
        <f>AP98</f>
        <v>0.375</v>
      </c>
      <c r="AS98" s="47">
        <f t="shared" si="100"/>
        <v>0.375</v>
      </c>
      <c r="AT98" s="47">
        <f t="shared" si="100"/>
        <v>0.375</v>
      </c>
      <c r="AU98" s="50">
        <f t="shared" si="100"/>
        <v>0.375</v>
      </c>
      <c r="AV98" s="49">
        <f>VLOOKUP(AV96,開始時間,2)</f>
        <v>0.45833333333333331</v>
      </c>
      <c r="AW98" s="47">
        <f t="shared" si="100"/>
        <v>0.45833333333333331</v>
      </c>
      <c r="AX98" s="47">
        <f t="shared" si="100"/>
        <v>0.45833333333333331</v>
      </c>
      <c r="AY98" s="47">
        <f>AW98</f>
        <v>0.45833333333333331</v>
      </c>
      <c r="AZ98" s="47">
        <f t="shared" si="100"/>
        <v>0.45833333333333331</v>
      </c>
      <c r="BA98" s="47">
        <f t="shared" si="100"/>
        <v>0.45833333333333331</v>
      </c>
      <c r="BB98" s="47">
        <f t="shared" si="100"/>
        <v>0.45833333333333331</v>
      </c>
      <c r="BC98" s="47">
        <f t="shared" si="100"/>
        <v>0.45833333333333331</v>
      </c>
      <c r="BD98" s="47">
        <f t="shared" si="100"/>
        <v>0.45833333333333331</v>
      </c>
      <c r="BE98" s="47">
        <f t="shared" si="100"/>
        <v>0.45833333333333331</v>
      </c>
      <c r="BF98" s="49">
        <f>VLOOKUP(BF96,開始時間,2)</f>
        <v>0.375</v>
      </c>
      <c r="BG98" s="47">
        <f>BF98</f>
        <v>0.375</v>
      </c>
      <c r="BH98" s="47">
        <f t="shared" ref="BH98:BY98" si="101">BG98</f>
        <v>0.375</v>
      </c>
      <c r="BI98" s="47">
        <f t="shared" si="101"/>
        <v>0.375</v>
      </c>
      <c r="BJ98" s="47">
        <f t="shared" si="101"/>
        <v>0.375</v>
      </c>
      <c r="BK98" s="47">
        <f t="shared" si="101"/>
        <v>0.375</v>
      </c>
      <c r="BL98" s="47">
        <f t="shared" ref="BL98" si="102">BK98</f>
        <v>0.375</v>
      </c>
      <c r="BM98" s="47">
        <f>BL98</f>
        <v>0.375</v>
      </c>
      <c r="BN98" s="47">
        <f t="shared" ref="BN98" si="103">BM98</f>
        <v>0.375</v>
      </c>
      <c r="BO98" s="47">
        <f t="shared" ref="BO98" si="104">BN98</f>
        <v>0.375</v>
      </c>
      <c r="BP98" s="49">
        <f>VLOOKUP(BP96,開始時間,2)</f>
        <v>0.45833333333333331</v>
      </c>
      <c r="BQ98" s="47">
        <f t="shared" si="101"/>
        <v>0.45833333333333331</v>
      </c>
      <c r="BR98" s="47">
        <f t="shared" ref="BR98" si="105">BQ98</f>
        <v>0.45833333333333331</v>
      </c>
      <c r="BS98" s="47">
        <f t="shared" ref="BS98" si="106">BR98</f>
        <v>0.45833333333333331</v>
      </c>
      <c r="BT98" s="47">
        <f t="shared" ref="BT98" si="107">BS98</f>
        <v>0.45833333333333331</v>
      </c>
      <c r="BU98" s="47">
        <f t="shared" si="101"/>
        <v>0.45833333333333331</v>
      </c>
      <c r="BV98" s="47">
        <f t="shared" si="101"/>
        <v>0.45833333333333331</v>
      </c>
      <c r="BW98" s="47">
        <f t="shared" si="101"/>
        <v>0.45833333333333331</v>
      </c>
      <c r="BX98" s="47">
        <f t="shared" si="101"/>
        <v>0.45833333333333331</v>
      </c>
      <c r="BY98" s="47">
        <f t="shared" si="101"/>
        <v>0.45833333333333331</v>
      </c>
      <c r="BZ98" s="49">
        <f>VLOOKUP(BZ96,開始時間,2)</f>
        <v>0.375</v>
      </c>
      <c r="CA98" s="47">
        <f>BZ98</f>
        <v>0.375</v>
      </c>
      <c r="CB98" s="47">
        <f t="shared" ref="CB98:CS98" si="108">CA98</f>
        <v>0.375</v>
      </c>
      <c r="CC98" s="47">
        <f t="shared" ref="CC98" si="109">CB98</f>
        <v>0.375</v>
      </c>
      <c r="CD98" s="47">
        <f t="shared" ref="CD98" si="110">CC98</f>
        <v>0.375</v>
      </c>
      <c r="CE98" s="47">
        <f t="shared" ref="CE98" si="111">CD98</f>
        <v>0.375</v>
      </c>
      <c r="CF98" s="47">
        <f t="shared" si="108"/>
        <v>0.375</v>
      </c>
      <c r="CG98" s="47">
        <f t="shared" si="108"/>
        <v>0.375</v>
      </c>
      <c r="CH98" s="47">
        <f t="shared" si="108"/>
        <v>0.375</v>
      </c>
      <c r="CI98" s="47">
        <f t="shared" si="108"/>
        <v>0.375</v>
      </c>
      <c r="CJ98" s="49">
        <f>VLOOKUP(CJ96,開始時間,2)</f>
        <v>0.45833333333333331</v>
      </c>
      <c r="CK98" s="47">
        <f t="shared" si="108"/>
        <v>0.45833333333333331</v>
      </c>
      <c r="CL98" s="47">
        <f t="shared" ref="CL98" si="112">CK98</f>
        <v>0.45833333333333331</v>
      </c>
      <c r="CM98" s="47">
        <f t="shared" ref="CM98" si="113">CL98</f>
        <v>0.45833333333333331</v>
      </c>
      <c r="CN98" s="47">
        <f t="shared" ref="CN98" si="114">CM98</f>
        <v>0.45833333333333331</v>
      </c>
      <c r="CO98" s="47">
        <f t="shared" si="108"/>
        <v>0.45833333333333331</v>
      </c>
      <c r="CP98" s="47">
        <f t="shared" si="108"/>
        <v>0.45833333333333331</v>
      </c>
      <c r="CQ98" s="47">
        <f t="shared" si="108"/>
        <v>0.45833333333333331</v>
      </c>
      <c r="CR98" s="47">
        <f t="shared" si="108"/>
        <v>0.45833333333333331</v>
      </c>
      <c r="CS98" s="47">
        <f t="shared" si="108"/>
        <v>0.45833333333333331</v>
      </c>
      <c r="CT98" s="49">
        <f>VLOOKUP(CT96,開始時間,2)</f>
        <v>0.375</v>
      </c>
      <c r="CU98" s="47">
        <f>CT98</f>
        <v>0.375</v>
      </c>
      <c r="CV98" s="47">
        <f t="shared" ref="CV98:DI98" si="115">CU98</f>
        <v>0.375</v>
      </c>
      <c r="CW98" s="47">
        <f t="shared" si="115"/>
        <v>0.375</v>
      </c>
      <c r="CX98" s="47">
        <f t="shared" ref="CX98" si="116">CW98</f>
        <v>0.375</v>
      </c>
      <c r="CY98" s="47">
        <f t="shared" ref="CY98" si="117">CX98</f>
        <v>0.375</v>
      </c>
      <c r="CZ98" s="47">
        <f t="shared" si="115"/>
        <v>0.375</v>
      </c>
      <c r="DA98" s="47">
        <f t="shared" si="115"/>
        <v>0.375</v>
      </c>
      <c r="DB98" s="47">
        <f t="shared" si="115"/>
        <v>0.375</v>
      </c>
      <c r="DC98" s="47">
        <f t="shared" si="115"/>
        <v>0.375</v>
      </c>
      <c r="DD98" s="49">
        <f>VLOOKUP(DD96,開始時間,2)</f>
        <v>0.45833333333333331</v>
      </c>
      <c r="DE98" s="47">
        <f t="shared" si="115"/>
        <v>0.45833333333333331</v>
      </c>
      <c r="DF98" s="47">
        <f t="shared" si="115"/>
        <v>0.45833333333333331</v>
      </c>
      <c r="DG98" s="47">
        <f t="shared" si="115"/>
        <v>0.45833333333333331</v>
      </c>
      <c r="DH98" s="47">
        <f t="shared" si="115"/>
        <v>0.45833333333333331</v>
      </c>
      <c r="DI98" s="47">
        <f t="shared" si="115"/>
        <v>0.45833333333333331</v>
      </c>
      <c r="DJ98" s="47">
        <f t="shared" ref="DJ98" si="118">DI98</f>
        <v>0.45833333333333331</v>
      </c>
      <c r="DK98" s="47">
        <f t="shared" ref="DK98" si="119">DJ98</f>
        <v>0.45833333333333331</v>
      </c>
      <c r="DL98" s="47">
        <f t="shared" ref="DL98" si="120">DK98</f>
        <v>0.45833333333333331</v>
      </c>
      <c r="DM98" s="47">
        <f>DK98</f>
        <v>0.45833333333333331</v>
      </c>
      <c r="DN98" s="49">
        <f>VLOOKUP(DN96,開始時間,2)</f>
        <v>0.375</v>
      </c>
      <c r="DO98" s="47">
        <f>DN98</f>
        <v>0.375</v>
      </c>
      <c r="DP98" s="47">
        <f t="shared" ref="DP98:EG98" si="121">DO98</f>
        <v>0.375</v>
      </c>
      <c r="DQ98" s="47">
        <f t="shared" si="121"/>
        <v>0.375</v>
      </c>
      <c r="DR98" s="47">
        <f t="shared" si="121"/>
        <v>0.375</v>
      </c>
      <c r="DS98" s="47">
        <f t="shared" ref="DS98" si="122">DR98</f>
        <v>0.375</v>
      </c>
      <c r="DT98" s="47">
        <f t="shared" ref="DT98" si="123">DS98</f>
        <v>0.375</v>
      </c>
      <c r="DU98" s="47">
        <f t="shared" ref="DU98" si="124">DT98</f>
        <v>0.375</v>
      </c>
      <c r="DV98" s="47">
        <f t="shared" si="121"/>
        <v>0.375</v>
      </c>
      <c r="DW98" s="47">
        <f t="shared" si="121"/>
        <v>0.375</v>
      </c>
      <c r="DX98" s="49">
        <f>VLOOKUP(DX96,開始時間,2)</f>
        <v>0.45833333333333331</v>
      </c>
      <c r="DY98" s="47">
        <f t="shared" si="121"/>
        <v>0.45833333333333331</v>
      </c>
      <c r="DZ98" s="47">
        <f>DX98</f>
        <v>0.45833333333333331</v>
      </c>
      <c r="EA98" s="47">
        <f t="shared" ref="EA98" si="125">DZ98</f>
        <v>0.45833333333333331</v>
      </c>
      <c r="EB98" s="47">
        <f>DZ98</f>
        <v>0.45833333333333331</v>
      </c>
      <c r="EC98" s="47">
        <f t="shared" si="121"/>
        <v>0.45833333333333331</v>
      </c>
      <c r="ED98" s="47">
        <f t="shared" si="121"/>
        <v>0.45833333333333331</v>
      </c>
      <c r="EE98" s="47">
        <f t="shared" si="121"/>
        <v>0.45833333333333331</v>
      </c>
      <c r="EF98" s="47">
        <f t="shared" si="121"/>
        <v>0.45833333333333331</v>
      </c>
      <c r="EG98" s="47">
        <f t="shared" si="121"/>
        <v>0.45833333333333331</v>
      </c>
      <c r="EH98" s="49">
        <f>VLOOKUP(EH96,開始時間,2)</f>
        <v>0.375</v>
      </c>
      <c r="EI98" s="47">
        <f>EH98</f>
        <v>0.375</v>
      </c>
      <c r="EJ98" s="47">
        <f t="shared" ref="EJ98:FA98" si="126">EI98</f>
        <v>0.375</v>
      </c>
      <c r="EK98" s="47">
        <f t="shared" si="126"/>
        <v>0.375</v>
      </c>
      <c r="EL98" s="47">
        <f t="shared" si="126"/>
        <v>0.375</v>
      </c>
      <c r="EM98" s="47">
        <f t="shared" si="126"/>
        <v>0.375</v>
      </c>
      <c r="EN98" s="47">
        <f t="shared" ref="EN98" si="127">EM98</f>
        <v>0.375</v>
      </c>
      <c r="EO98" s="47">
        <f t="shared" ref="EO98" si="128">EN98</f>
        <v>0.375</v>
      </c>
      <c r="EP98" s="47">
        <f t="shared" ref="EP98" si="129">EO98</f>
        <v>0.375</v>
      </c>
      <c r="EQ98" s="47">
        <f t="shared" si="126"/>
        <v>0.375</v>
      </c>
      <c r="ER98" s="49">
        <f>VLOOKUP(ER96,開始時間,2)</f>
        <v>0.45833333333333331</v>
      </c>
      <c r="ES98" s="47">
        <f t="shared" si="126"/>
        <v>0.45833333333333331</v>
      </c>
      <c r="ET98" s="47">
        <f t="shared" si="126"/>
        <v>0.45833333333333331</v>
      </c>
      <c r="EU98" s="47">
        <f t="shared" si="126"/>
        <v>0.45833333333333331</v>
      </c>
      <c r="EV98" s="47">
        <f t="shared" si="126"/>
        <v>0.45833333333333331</v>
      </c>
      <c r="EW98" s="47">
        <f t="shared" ref="EW98" si="130">EV98</f>
        <v>0.45833333333333331</v>
      </c>
      <c r="EX98" s="47">
        <f t="shared" ref="EX98" si="131">EW98</f>
        <v>0.45833333333333331</v>
      </c>
      <c r="EY98" s="47">
        <f t="shared" si="126"/>
        <v>0.45833333333333331</v>
      </c>
      <c r="EZ98" s="47">
        <f t="shared" si="126"/>
        <v>0.45833333333333331</v>
      </c>
      <c r="FA98" s="47">
        <f t="shared" si="126"/>
        <v>0.45833333333333331</v>
      </c>
      <c r="FB98" s="49">
        <f>VLOOKUP(FB96,開始時間,2)</f>
        <v>0.375</v>
      </c>
      <c r="FC98" s="47">
        <f>FB98</f>
        <v>0.375</v>
      </c>
      <c r="FD98" s="47">
        <f t="shared" ref="FD98:FQ98" si="132">FC98</f>
        <v>0.375</v>
      </c>
      <c r="FE98" s="47">
        <f t="shared" si="132"/>
        <v>0.375</v>
      </c>
      <c r="FF98" s="47">
        <f t="shared" si="132"/>
        <v>0.375</v>
      </c>
      <c r="FG98" s="47">
        <f t="shared" ref="FG98" si="133">FF98</f>
        <v>0.375</v>
      </c>
      <c r="FH98" s="47">
        <f t="shared" ref="FH98" si="134">FG98</f>
        <v>0.375</v>
      </c>
      <c r="FI98" s="47">
        <f t="shared" ref="FI98" si="135">FH98</f>
        <v>0.375</v>
      </c>
      <c r="FJ98" s="47">
        <f t="shared" si="132"/>
        <v>0.375</v>
      </c>
      <c r="FK98" s="47">
        <f t="shared" si="132"/>
        <v>0.375</v>
      </c>
      <c r="FL98" s="49">
        <f>VLOOKUP(FL96,開始時間,2)</f>
        <v>0.45833333333333331</v>
      </c>
      <c r="FM98" s="47">
        <f t="shared" si="132"/>
        <v>0.45833333333333331</v>
      </c>
      <c r="FN98" s="47">
        <f t="shared" si="132"/>
        <v>0.45833333333333331</v>
      </c>
      <c r="FO98" s="47">
        <f t="shared" si="132"/>
        <v>0.45833333333333331</v>
      </c>
      <c r="FP98" s="47">
        <f t="shared" si="132"/>
        <v>0.45833333333333331</v>
      </c>
      <c r="FQ98" s="47">
        <f t="shared" si="132"/>
        <v>0.45833333333333331</v>
      </c>
      <c r="FR98" s="47">
        <f t="shared" ref="FR98" si="136">FQ98</f>
        <v>0.45833333333333331</v>
      </c>
      <c r="FS98" s="47">
        <f t="shared" ref="FS98" si="137">FR98</f>
        <v>0.45833333333333331</v>
      </c>
      <c r="FT98" s="47">
        <f t="shared" ref="FT98" si="138">FS98</f>
        <v>0.45833333333333331</v>
      </c>
      <c r="FU98" s="47">
        <f t="shared" ref="FU98" si="139">FT98</f>
        <v>0.45833333333333331</v>
      </c>
      <c r="FV98" s="49">
        <f>VLOOKUP(FV96,開始時間,2)</f>
        <v>0.375</v>
      </c>
      <c r="FW98" s="47">
        <f>FV98</f>
        <v>0.375</v>
      </c>
      <c r="FX98" s="47">
        <f t="shared" ref="FX98:GO98" si="140">FW98</f>
        <v>0.375</v>
      </c>
      <c r="FY98" s="47">
        <f t="shared" si="140"/>
        <v>0.375</v>
      </c>
      <c r="FZ98" s="47">
        <f t="shared" si="140"/>
        <v>0.375</v>
      </c>
      <c r="GA98" s="47">
        <f t="shared" si="140"/>
        <v>0.375</v>
      </c>
      <c r="GB98" s="47">
        <f t="shared" si="140"/>
        <v>0.375</v>
      </c>
      <c r="GC98" s="47">
        <f>GA98</f>
        <v>0.375</v>
      </c>
      <c r="GD98" s="47">
        <f t="shared" si="140"/>
        <v>0.375</v>
      </c>
      <c r="GE98" s="47">
        <f t="shared" si="140"/>
        <v>0.375</v>
      </c>
      <c r="GF98" s="49">
        <f>VLOOKUP(GF96,開始時間,2)</f>
        <v>0.45833333333333331</v>
      </c>
      <c r="GG98" s="47">
        <f t="shared" si="140"/>
        <v>0.45833333333333331</v>
      </c>
      <c r="GH98" s="47">
        <f t="shared" si="140"/>
        <v>0.45833333333333331</v>
      </c>
      <c r="GI98" s="47">
        <f t="shared" si="140"/>
        <v>0.45833333333333331</v>
      </c>
      <c r="GJ98" s="47">
        <f t="shared" si="140"/>
        <v>0.45833333333333331</v>
      </c>
      <c r="GK98" s="47">
        <f t="shared" ref="GK98" si="141">GJ98</f>
        <v>0.45833333333333331</v>
      </c>
      <c r="GL98" s="47">
        <f t="shared" ref="GL98" si="142">GK98</f>
        <v>0.45833333333333331</v>
      </c>
      <c r="GM98" s="47">
        <f t="shared" si="140"/>
        <v>0.45833333333333331</v>
      </c>
      <c r="GN98" s="47">
        <f t="shared" si="140"/>
        <v>0.45833333333333331</v>
      </c>
      <c r="GO98" s="47">
        <f t="shared" si="140"/>
        <v>0.45833333333333331</v>
      </c>
      <c r="GP98" s="49">
        <f>VLOOKUP(GP96,開始時間,2)</f>
        <v>0.375</v>
      </c>
      <c r="GQ98" s="47">
        <f>GP98</f>
        <v>0.375</v>
      </c>
      <c r="GR98" s="47">
        <f t="shared" ref="GR98:HI98" si="143">GQ98</f>
        <v>0.375</v>
      </c>
      <c r="GS98" s="47">
        <f t="shared" si="143"/>
        <v>0.375</v>
      </c>
      <c r="GT98" s="47">
        <f t="shared" si="143"/>
        <v>0.375</v>
      </c>
      <c r="GU98" s="47">
        <f t="shared" ref="GU98" si="144">GT98</f>
        <v>0.375</v>
      </c>
      <c r="GV98" s="47">
        <f t="shared" ref="GV98" si="145">GU98</f>
        <v>0.375</v>
      </c>
      <c r="GW98" s="47">
        <f t="shared" si="143"/>
        <v>0.375</v>
      </c>
      <c r="GX98" s="47">
        <f t="shared" si="143"/>
        <v>0.375</v>
      </c>
      <c r="GY98" s="47">
        <f t="shared" si="143"/>
        <v>0.375</v>
      </c>
      <c r="GZ98" s="49">
        <f>VLOOKUP(GZ96,開始時間,2)</f>
        <v>0.45833333333333331</v>
      </c>
      <c r="HA98" s="47">
        <f t="shared" si="143"/>
        <v>0.45833333333333331</v>
      </c>
      <c r="HB98" s="47">
        <f t="shared" si="143"/>
        <v>0.45833333333333331</v>
      </c>
      <c r="HC98" s="47">
        <f t="shared" si="143"/>
        <v>0.45833333333333331</v>
      </c>
      <c r="HD98" s="47">
        <f t="shared" ref="HD98" si="146">HC98</f>
        <v>0.45833333333333331</v>
      </c>
      <c r="HE98" s="47">
        <f t="shared" ref="HE98" si="147">HD98</f>
        <v>0.45833333333333331</v>
      </c>
      <c r="HF98" s="47">
        <f t="shared" ref="HF98" si="148">HE98</f>
        <v>0.45833333333333331</v>
      </c>
      <c r="HG98" s="47">
        <f t="shared" si="143"/>
        <v>0.45833333333333331</v>
      </c>
      <c r="HH98" s="47">
        <f t="shared" si="143"/>
        <v>0.45833333333333331</v>
      </c>
      <c r="HI98" s="47">
        <f t="shared" si="143"/>
        <v>0.45833333333333331</v>
      </c>
      <c r="HJ98" s="49">
        <f>VLOOKUP(HJ96,開始時間,2)</f>
        <v>0.375</v>
      </c>
      <c r="HK98" s="47">
        <f>HJ98</f>
        <v>0.375</v>
      </c>
      <c r="HL98" s="47">
        <f t="shared" ref="HL98" si="149">HK98</f>
        <v>0.375</v>
      </c>
      <c r="HM98" s="47">
        <f t="shared" ref="HM98" si="150">HL98</f>
        <v>0.375</v>
      </c>
      <c r="HN98" s="47">
        <f t="shared" ref="HN98" si="151">HM98</f>
        <v>0.375</v>
      </c>
      <c r="HO98" s="47">
        <f t="shared" ref="HO98" si="152">HN98</f>
        <v>0.375</v>
      </c>
      <c r="HP98" s="47">
        <f t="shared" ref="HP98" si="153">HO98</f>
        <v>0.375</v>
      </c>
      <c r="HQ98" s="47">
        <f t="shared" ref="HQ98" si="154">HP98</f>
        <v>0.375</v>
      </c>
      <c r="HR98" s="47">
        <f t="shared" ref="HR98" si="155">HQ98</f>
        <v>0.375</v>
      </c>
      <c r="HS98" s="47">
        <f t="shared" ref="HS98" si="156">HR98</f>
        <v>0.375</v>
      </c>
      <c r="HT98" s="49">
        <f>VLOOKUP(HT96,開始時間,2)</f>
        <v>0.45833333333333331</v>
      </c>
      <c r="HU98" s="47">
        <f t="shared" ref="HU98" si="157">HT98</f>
        <v>0.45833333333333331</v>
      </c>
      <c r="HV98" s="47">
        <f t="shared" ref="HV98" si="158">HU98</f>
        <v>0.45833333333333331</v>
      </c>
      <c r="HW98" s="47">
        <f t="shared" ref="HW98" si="159">HV98</f>
        <v>0.45833333333333331</v>
      </c>
      <c r="HX98" s="47">
        <f t="shared" ref="HX98" si="160">HW98</f>
        <v>0.45833333333333331</v>
      </c>
      <c r="HY98" s="47">
        <f t="shared" ref="HY98" si="161">HX98</f>
        <v>0.45833333333333331</v>
      </c>
      <c r="HZ98" s="47">
        <f t="shared" ref="HZ98" si="162">HY98</f>
        <v>0.45833333333333331</v>
      </c>
      <c r="IA98" s="47">
        <f t="shared" ref="IA98" si="163">HZ98</f>
        <v>0.45833333333333331</v>
      </c>
      <c r="IB98" s="47">
        <f t="shared" ref="IB98" si="164">IA98</f>
        <v>0.45833333333333331</v>
      </c>
      <c r="IC98" s="47">
        <f t="shared" ref="IC98" si="165">IB98</f>
        <v>0.45833333333333331</v>
      </c>
      <c r="ID98" s="48"/>
    </row>
    <row r="99" spans="1:238" s="36" customFormat="1" outlineLevel="1" x14ac:dyDescent="0.15">
      <c r="A99" s="44"/>
      <c r="D99" s="120"/>
      <c r="E99" s="120"/>
      <c r="F99" s="120"/>
      <c r="H99" s="120"/>
      <c r="I99" s="120"/>
      <c r="J99" s="120"/>
      <c r="K99" s="120"/>
      <c r="P99" s="52" t="s">
        <v>103</v>
      </c>
      <c r="R99" s="27">
        <f>R98+TIME(0,R97,0)</f>
        <v>0.38194444444444442</v>
      </c>
      <c r="S99" s="27">
        <f t="shared" ref="S99:AK99" si="166">S98+TIME(0,S97,0)</f>
        <v>0.3888888888888889</v>
      </c>
      <c r="T99" s="27">
        <f t="shared" si="166"/>
        <v>0.39583333333333331</v>
      </c>
      <c r="U99" s="27">
        <f t="shared" si="166"/>
        <v>0.40277777777777779</v>
      </c>
      <c r="V99" s="27">
        <f t="shared" ref="V99" si="167">V98+TIME(0,V97,0)</f>
        <v>0.40972222222222221</v>
      </c>
      <c r="W99" s="27">
        <f t="shared" si="166"/>
        <v>0.41666666666666669</v>
      </c>
      <c r="X99" s="27">
        <f t="shared" si="166"/>
        <v>0.4236111111111111</v>
      </c>
      <c r="Y99" s="27">
        <f t="shared" si="166"/>
        <v>0.43055555555555558</v>
      </c>
      <c r="Z99" s="27">
        <f t="shared" si="166"/>
        <v>0.4375</v>
      </c>
      <c r="AA99" s="27">
        <f t="shared" si="166"/>
        <v>0.44444444444444442</v>
      </c>
      <c r="AB99" s="27">
        <f t="shared" si="166"/>
        <v>0.46527777777777773</v>
      </c>
      <c r="AC99" s="27">
        <f t="shared" si="166"/>
        <v>0.47222222222222221</v>
      </c>
      <c r="AD99" s="27">
        <f t="shared" ref="AD99" si="168">AD98+TIME(0,AD97,0)</f>
        <v>0.47916666666666663</v>
      </c>
      <c r="AE99" s="27">
        <f t="shared" si="166"/>
        <v>0.4861111111111111</v>
      </c>
      <c r="AF99" s="27">
        <f t="shared" si="166"/>
        <v>0.49305555555555552</v>
      </c>
      <c r="AG99" s="27">
        <f t="shared" si="166"/>
        <v>0.5</v>
      </c>
      <c r="AH99" s="27">
        <f t="shared" si="166"/>
        <v>0.50694444444444442</v>
      </c>
      <c r="AI99" s="27">
        <f t="shared" si="166"/>
        <v>0.51388888888888884</v>
      </c>
      <c r="AJ99" s="27">
        <f t="shared" si="166"/>
        <v>0.52083333333333326</v>
      </c>
      <c r="AK99" s="27">
        <f t="shared" si="166"/>
        <v>0.52777777777777779</v>
      </c>
      <c r="AL99" s="27">
        <f t="shared" ref="AL99:BU99" si="169">AL98+TIME(0,AL97,0)</f>
        <v>0.38194444444444442</v>
      </c>
      <c r="AM99" s="27">
        <f t="shared" si="169"/>
        <v>0.3888888888888889</v>
      </c>
      <c r="AN99" s="27">
        <f t="shared" si="169"/>
        <v>0.39583333333333331</v>
      </c>
      <c r="AO99" s="27">
        <f t="shared" si="169"/>
        <v>0.40277777777777779</v>
      </c>
      <c r="AP99" s="27">
        <f t="shared" si="169"/>
        <v>0.40972222222222221</v>
      </c>
      <c r="AQ99" s="27">
        <f t="shared" ref="AQ99" si="170">AQ98+TIME(0,AQ97,0)</f>
        <v>0.41666666666666669</v>
      </c>
      <c r="AR99" s="27">
        <f t="shared" si="169"/>
        <v>0.4236111111111111</v>
      </c>
      <c r="AS99" s="27">
        <f t="shared" si="169"/>
        <v>0.43055555555555558</v>
      </c>
      <c r="AT99" s="27">
        <f t="shared" si="169"/>
        <v>0.4375</v>
      </c>
      <c r="AU99" s="27">
        <f t="shared" si="169"/>
        <v>0.44444444444444442</v>
      </c>
      <c r="AV99" s="27">
        <f t="shared" si="169"/>
        <v>0.46527777777777773</v>
      </c>
      <c r="AW99" s="27">
        <f t="shared" si="169"/>
        <v>0.47222222222222221</v>
      </c>
      <c r="AX99" s="27">
        <f t="shared" ref="AX99" si="171">AX98+TIME(0,AX97,0)</f>
        <v>0.47916666666666663</v>
      </c>
      <c r="AY99" s="27">
        <f t="shared" si="169"/>
        <v>0.4861111111111111</v>
      </c>
      <c r="AZ99" s="27">
        <f t="shared" si="169"/>
        <v>0.49305555555555552</v>
      </c>
      <c r="BA99" s="27">
        <f t="shared" si="169"/>
        <v>0.5</v>
      </c>
      <c r="BB99" s="27">
        <f t="shared" si="169"/>
        <v>0.50694444444444442</v>
      </c>
      <c r="BC99" s="27">
        <f t="shared" si="169"/>
        <v>0.51388888888888884</v>
      </c>
      <c r="BD99" s="27">
        <f t="shared" si="169"/>
        <v>0.52083333333333326</v>
      </c>
      <c r="BE99" s="27">
        <f t="shared" si="169"/>
        <v>0.52777777777777779</v>
      </c>
      <c r="BF99" s="27">
        <f t="shared" si="169"/>
        <v>0.38194444444444442</v>
      </c>
      <c r="BG99" s="27">
        <f t="shared" si="169"/>
        <v>0.3888888888888889</v>
      </c>
      <c r="BH99" s="27">
        <f t="shared" si="169"/>
        <v>0.39583333333333331</v>
      </c>
      <c r="BI99" s="27">
        <f t="shared" si="169"/>
        <v>0.40277777777777779</v>
      </c>
      <c r="BJ99" s="27">
        <f t="shared" si="169"/>
        <v>0.40972222222222221</v>
      </c>
      <c r="BK99" s="27">
        <f t="shared" si="169"/>
        <v>0.41666666666666669</v>
      </c>
      <c r="BL99" s="27">
        <f t="shared" ref="BL99:BO99" si="172">BL98+TIME(0,BL97,0)</f>
        <v>0.4236111111111111</v>
      </c>
      <c r="BM99" s="27">
        <f t="shared" si="172"/>
        <v>0.43055555555555558</v>
      </c>
      <c r="BN99" s="27">
        <f t="shared" si="172"/>
        <v>0.4375</v>
      </c>
      <c r="BO99" s="27">
        <f t="shared" si="172"/>
        <v>0.44444444444444442</v>
      </c>
      <c r="BP99" s="27">
        <f t="shared" si="169"/>
        <v>0.46527777777777773</v>
      </c>
      <c r="BQ99" s="27">
        <f t="shared" si="169"/>
        <v>0.47222222222222221</v>
      </c>
      <c r="BR99" s="27">
        <f t="shared" ref="BR99:BT99" si="173">BR98+TIME(0,BR97,0)</f>
        <v>0.47916666666666663</v>
      </c>
      <c r="BS99" s="27">
        <f t="shared" si="173"/>
        <v>0.4861111111111111</v>
      </c>
      <c r="BT99" s="27">
        <f t="shared" si="173"/>
        <v>0.49305555555555552</v>
      </c>
      <c r="BU99" s="27">
        <f t="shared" si="169"/>
        <v>0.5</v>
      </c>
      <c r="BV99" s="27">
        <f t="shared" ref="BV99:DD99" si="174">BV98+TIME(0,BV97,0)</f>
        <v>0.50694444444444442</v>
      </c>
      <c r="BW99" s="27">
        <f t="shared" si="174"/>
        <v>0.51388888888888884</v>
      </c>
      <c r="BX99" s="27">
        <f t="shared" si="174"/>
        <v>0.52083333333333326</v>
      </c>
      <c r="BY99" s="27">
        <f t="shared" si="174"/>
        <v>0.52777777777777779</v>
      </c>
      <c r="BZ99" s="27">
        <f t="shared" si="174"/>
        <v>0.38194444444444442</v>
      </c>
      <c r="CA99" s="27">
        <f t="shared" si="174"/>
        <v>0.3888888888888889</v>
      </c>
      <c r="CB99" s="27">
        <f t="shared" si="174"/>
        <v>0.39583333333333331</v>
      </c>
      <c r="CC99" s="27">
        <f t="shared" ref="CC99:CE99" si="175">CC98+TIME(0,CC97,0)</f>
        <v>0.40277777777777779</v>
      </c>
      <c r="CD99" s="27">
        <f t="shared" si="175"/>
        <v>0.40972222222222221</v>
      </c>
      <c r="CE99" s="27">
        <f t="shared" si="175"/>
        <v>0.41666666666666669</v>
      </c>
      <c r="CF99" s="27">
        <f t="shared" si="174"/>
        <v>0.4236111111111111</v>
      </c>
      <c r="CG99" s="27">
        <f t="shared" si="174"/>
        <v>0.43055555555555558</v>
      </c>
      <c r="CH99" s="27">
        <f t="shared" si="174"/>
        <v>0.4375</v>
      </c>
      <c r="CI99" s="27">
        <f t="shared" si="174"/>
        <v>0.44444444444444442</v>
      </c>
      <c r="CJ99" s="27">
        <f t="shared" si="174"/>
        <v>0.46527777777777773</v>
      </c>
      <c r="CK99" s="27">
        <f t="shared" si="174"/>
        <v>0.47222222222222221</v>
      </c>
      <c r="CL99" s="27">
        <f t="shared" ref="CL99:CN99" si="176">CL98+TIME(0,CL97,0)</f>
        <v>0.47916666666666663</v>
      </c>
      <c r="CM99" s="27">
        <f t="shared" si="176"/>
        <v>0.4861111111111111</v>
      </c>
      <c r="CN99" s="27">
        <f t="shared" si="176"/>
        <v>0.49305555555555552</v>
      </c>
      <c r="CO99" s="27">
        <f t="shared" si="174"/>
        <v>0.5</v>
      </c>
      <c r="CP99" s="27">
        <f t="shared" si="174"/>
        <v>0.50694444444444442</v>
      </c>
      <c r="CQ99" s="27">
        <f t="shared" si="174"/>
        <v>0.51388888888888884</v>
      </c>
      <c r="CR99" s="27">
        <f t="shared" si="174"/>
        <v>0.52083333333333326</v>
      </c>
      <c r="CS99" s="27">
        <f t="shared" si="174"/>
        <v>0.52777777777777779</v>
      </c>
      <c r="CT99" s="27">
        <f t="shared" si="174"/>
        <v>0.38194444444444442</v>
      </c>
      <c r="CU99" s="27">
        <f t="shared" si="174"/>
        <v>0.3888888888888889</v>
      </c>
      <c r="CV99" s="27">
        <f t="shared" si="174"/>
        <v>0.39583333333333331</v>
      </c>
      <c r="CW99" s="27">
        <f t="shared" si="174"/>
        <v>0.40277777777777779</v>
      </c>
      <c r="CX99" s="27">
        <f t="shared" ref="CX99:CY99" si="177">CX98+TIME(0,CX97,0)</f>
        <v>0.40972222222222221</v>
      </c>
      <c r="CY99" s="27">
        <f t="shared" si="177"/>
        <v>0.41666666666666669</v>
      </c>
      <c r="CZ99" s="27">
        <f t="shared" si="174"/>
        <v>0.4236111111111111</v>
      </c>
      <c r="DA99" s="27">
        <f t="shared" si="174"/>
        <v>0.43055555555555558</v>
      </c>
      <c r="DB99" s="27">
        <f t="shared" si="174"/>
        <v>0.4375</v>
      </c>
      <c r="DC99" s="27">
        <f t="shared" si="174"/>
        <v>0.44444444444444442</v>
      </c>
      <c r="DD99" s="27">
        <f t="shared" si="174"/>
        <v>0.46527777777777773</v>
      </c>
      <c r="DE99" s="27">
        <f t="shared" ref="DE99:EM99" si="178">DE98+TIME(0,DE97,0)</f>
        <v>0.47222222222222221</v>
      </c>
      <c r="DF99" s="27">
        <f t="shared" si="178"/>
        <v>0.47916666666666663</v>
      </c>
      <c r="DG99" s="27">
        <f t="shared" si="178"/>
        <v>0.4861111111111111</v>
      </c>
      <c r="DH99" s="27">
        <f t="shared" si="178"/>
        <v>0.49305555555555552</v>
      </c>
      <c r="DI99" s="27">
        <f t="shared" si="178"/>
        <v>0.5</v>
      </c>
      <c r="DJ99" s="27">
        <f t="shared" ref="DJ99:DL99" si="179">DJ98+TIME(0,DJ97,0)</f>
        <v>0.50694444444444442</v>
      </c>
      <c r="DK99" s="27">
        <f t="shared" si="179"/>
        <v>0.51388888888888884</v>
      </c>
      <c r="DL99" s="27">
        <f t="shared" si="179"/>
        <v>0.52083333333333326</v>
      </c>
      <c r="DM99" s="27">
        <f t="shared" si="178"/>
        <v>0.52777777777777779</v>
      </c>
      <c r="DN99" s="27">
        <f t="shared" si="178"/>
        <v>0.38194444444444442</v>
      </c>
      <c r="DO99" s="27">
        <f t="shared" si="178"/>
        <v>0.3888888888888889</v>
      </c>
      <c r="DP99" s="27">
        <f t="shared" si="178"/>
        <v>0.39583333333333331</v>
      </c>
      <c r="DQ99" s="27">
        <f t="shared" si="178"/>
        <v>0.40277777777777779</v>
      </c>
      <c r="DR99" s="27">
        <f t="shared" si="178"/>
        <v>0.40972222222222221</v>
      </c>
      <c r="DS99" s="27">
        <f t="shared" ref="DS99:DU99" si="180">DS98+TIME(0,DS97,0)</f>
        <v>0.41666666666666669</v>
      </c>
      <c r="DT99" s="27">
        <f t="shared" si="180"/>
        <v>0.4236111111111111</v>
      </c>
      <c r="DU99" s="27">
        <f t="shared" si="180"/>
        <v>0.43055555555555558</v>
      </c>
      <c r="DV99" s="27">
        <f t="shared" si="178"/>
        <v>0.4375</v>
      </c>
      <c r="DW99" s="27">
        <f t="shared" si="178"/>
        <v>0.44444444444444442</v>
      </c>
      <c r="DX99" s="27">
        <f t="shared" si="178"/>
        <v>0.46527777777777773</v>
      </c>
      <c r="DY99" s="27">
        <f t="shared" si="178"/>
        <v>0.47222222222222221</v>
      </c>
      <c r="DZ99" s="27">
        <f t="shared" ref="DZ99:EA99" si="181">DZ98+TIME(0,DZ97,0)</f>
        <v>0.47916666666666663</v>
      </c>
      <c r="EA99" s="27">
        <f t="shared" si="181"/>
        <v>0.4861111111111111</v>
      </c>
      <c r="EB99" s="27">
        <f t="shared" si="178"/>
        <v>0.49305555555555552</v>
      </c>
      <c r="EC99" s="27">
        <f t="shared" si="178"/>
        <v>0.5</v>
      </c>
      <c r="ED99" s="27">
        <f t="shared" si="178"/>
        <v>0.50694444444444442</v>
      </c>
      <c r="EE99" s="27">
        <f t="shared" si="178"/>
        <v>0.51388888888888884</v>
      </c>
      <c r="EF99" s="27">
        <f t="shared" si="178"/>
        <v>0.52083333333333326</v>
      </c>
      <c r="EG99" s="27">
        <f t="shared" si="178"/>
        <v>0.52777777777777779</v>
      </c>
      <c r="EH99" s="27">
        <f t="shared" si="178"/>
        <v>0.38194444444444442</v>
      </c>
      <c r="EI99" s="27">
        <f t="shared" si="178"/>
        <v>0.3888888888888889</v>
      </c>
      <c r="EJ99" s="27">
        <f t="shared" si="178"/>
        <v>0.39583333333333331</v>
      </c>
      <c r="EK99" s="27">
        <f t="shared" si="178"/>
        <v>0.40277777777777779</v>
      </c>
      <c r="EL99" s="27">
        <f t="shared" si="178"/>
        <v>0.40972222222222221</v>
      </c>
      <c r="EM99" s="27">
        <f t="shared" si="178"/>
        <v>0.41666666666666669</v>
      </c>
      <c r="EN99" s="27">
        <f t="shared" ref="EN99:EP99" si="182">EN98+TIME(0,EN97,0)</f>
        <v>0.4236111111111111</v>
      </c>
      <c r="EO99" s="27">
        <f t="shared" si="182"/>
        <v>0.43055555555555558</v>
      </c>
      <c r="EP99" s="27">
        <f t="shared" si="182"/>
        <v>0.4375</v>
      </c>
      <c r="EQ99" s="27">
        <f t="shared" ref="EQ99:FW99" si="183">EQ98+TIME(0,EQ97,0)</f>
        <v>0.44444444444444442</v>
      </c>
      <c r="ER99" s="27">
        <f t="shared" si="183"/>
        <v>0.46527777777777773</v>
      </c>
      <c r="ES99" s="27">
        <f t="shared" si="183"/>
        <v>0.47222222222222221</v>
      </c>
      <c r="ET99" s="27">
        <f t="shared" si="183"/>
        <v>0.47916666666666663</v>
      </c>
      <c r="EU99" s="27">
        <f t="shared" si="183"/>
        <v>0.4861111111111111</v>
      </c>
      <c r="EV99" s="27">
        <f t="shared" si="183"/>
        <v>0.49305555555555552</v>
      </c>
      <c r="EW99" s="27">
        <f t="shared" ref="EW99:EX99" si="184">EW98+TIME(0,EW97,0)</f>
        <v>0.5</v>
      </c>
      <c r="EX99" s="27">
        <f t="shared" si="184"/>
        <v>0.50694444444444442</v>
      </c>
      <c r="EY99" s="27">
        <f t="shared" si="183"/>
        <v>0.51388888888888884</v>
      </c>
      <c r="EZ99" s="27">
        <f t="shared" si="183"/>
        <v>0.52083333333333326</v>
      </c>
      <c r="FA99" s="27">
        <f t="shared" si="183"/>
        <v>0.52777777777777779</v>
      </c>
      <c r="FB99" s="27">
        <f t="shared" si="183"/>
        <v>0.38194444444444442</v>
      </c>
      <c r="FC99" s="27">
        <f t="shared" si="183"/>
        <v>0.3888888888888889</v>
      </c>
      <c r="FD99" s="27">
        <f t="shared" si="183"/>
        <v>0.39583333333333331</v>
      </c>
      <c r="FE99" s="27">
        <f t="shared" si="183"/>
        <v>0.40277777777777779</v>
      </c>
      <c r="FF99" s="27">
        <f t="shared" si="183"/>
        <v>0.40972222222222221</v>
      </c>
      <c r="FG99" s="27">
        <f t="shared" ref="FG99:FI99" si="185">FG98+TIME(0,FG97,0)</f>
        <v>0.41666666666666669</v>
      </c>
      <c r="FH99" s="27">
        <f t="shared" si="185"/>
        <v>0.4236111111111111</v>
      </c>
      <c r="FI99" s="27">
        <f t="shared" si="185"/>
        <v>0.43055555555555558</v>
      </c>
      <c r="FJ99" s="27">
        <f t="shared" si="183"/>
        <v>0.4375</v>
      </c>
      <c r="FK99" s="27">
        <f t="shared" si="183"/>
        <v>0.44444444444444442</v>
      </c>
      <c r="FL99" s="27">
        <f t="shared" si="183"/>
        <v>0.46527777777777773</v>
      </c>
      <c r="FM99" s="27">
        <f t="shared" si="183"/>
        <v>0.47222222222222221</v>
      </c>
      <c r="FN99" s="27">
        <f t="shared" si="183"/>
        <v>0.47916666666666663</v>
      </c>
      <c r="FO99" s="27">
        <f t="shared" si="183"/>
        <v>0.4861111111111111</v>
      </c>
      <c r="FP99" s="27">
        <f t="shared" si="183"/>
        <v>0.49305555555555552</v>
      </c>
      <c r="FQ99" s="27">
        <f t="shared" si="183"/>
        <v>0.5</v>
      </c>
      <c r="FR99" s="27">
        <f t="shared" ref="FR99:FU99" si="186">FR98+TIME(0,FR97,0)</f>
        <v>0.50694444444444442</v>
      </c>
      <c r="FS99" s="27">
        <f t="shared" si="186"/>
        <v>0.51388888888888884</v>
      </c>
      <c r="FT99" s="27">
        <f t="shared" si="186"/>
        <v>0.52083333333333326</v>
      </c>
      <c r="FU99" s="27">
        <f t="shared" si="186"/>
        <v>0.52777777777777779</v>
      </c>
      <c r="FV99" s="27">
        <f t="shared" si="183"/>
        <v>0.38194444444444442</v>
      </c>
      <c r="FW99" s="27">
        <f t="shared" si="183"/>
        <v>0.3888888888888889</v>
      </c>
      <c r="FX99" s="27">
        <f t="shared" ref="FX99:HG99" si="187">FX98+TIME(0,FX97,0)</f>
        <v>0.39583333333333331</v>
      </c>
      <c r="FY99" s="27">
        <f t="shared" si="187"/>
        <v>0.40277777777777779</v>
      </c>
      <c r="FZ99" s="27">
        <f t="shared" si="187"/>
        <v>0.40972222222222221</v>
      </c>
      <c r="GA99" s="27">
        <f t="shared" si="187"/>
        <v>0.41666666666666669</v>
      </c>
      <c r="GB99" s="27">
        <f t="shared" ref="GB99" si="188">GB98+TIME(0,GB97,0)</f>
        <v>0.4236111111111111</v>
      </c>
      <c r="GC99" s="27">
        <f t="shared" si="187"/>
        <v>0.43055555555555558</v>
      </c>
      <c r="GD99" s="27">
        <f t="shared" si="187"/>
        <v>0.4375</v>
      </c>
      <c r="GE99" s="27">
        <f t="shared" si="187"/>
        <v>0.44444444444444442</v>
      </c>
      <c r="GF99" s="27">
        <f t="shared" si="187"/>
        <v>0.46527777777777773</v>
      </c>
      <c r="GG99" s="27">
        <f t="shared" si="187"/>
        <v>0.47222222222222221</v>
      </c>
      <c r="GH99" s="27">
        <f t="shared" si="187"/>
        <v>0.47916666666666663</v>
      </c>
      <c r="GI99" s="27">
        <f t="shared" si="187"/>
        <v>0.4861111111111111</v>
      </c>
      <c r="GJ99" s="27">
        <f t="shared" si="187"/>
        <v>0.49305555555555552</v>
      </c>
      <c r="GK99" s="27">
        <f t="shared" ref="GK99:GL99" si="189">GK98+TIME(0,GK97,0)</f>
        <v>0.5</v>
      </c>
      <c r="GL99" s="27">
        <f t="shared" si="189"/>
        <v>0.50694444444444442</v>
      </c>
      <c r="GM99" s="27">
        <f t="shared" si="187"/>
        <v>0.51388888888888884</v>
      </c>
      <c r="GN99" s="27">
        <f t="shared" si="187"/>
        <v>0.52083333333333326</v>
      </c>
      <c r="GO99" s="27">
        <f t="shared" si="187"/>
        <v>0.52777777777777779</v>
      </c>
      <c r="GP99" s="27">
        <f t="shared" si="187"/>
        <v>0.38194444444444442</v>
      </c>
      <c r="GQ99" s="27">
        <f t="shared" si="187"/>
        <v>0.3888888888888889</v>
      </c>
      <c r="GR99" s="27">
        <f t="shared" si="187"/>
        <v>0.39583333333333331</v>
      </c>
      <c r="GS99" s="27">
        <f t="shared" si="187"/>
        <v>0.40277777777777779</v>
      </c>
      <c r="GT99" s="27">
        <f t="shared" si="187"/>
        <v>0.40972222222222221</v>
      </c>
      <c r="GU99" s="27">
        <f t="shared" ref="GU99:GV99" si="190">GU98+TIME(0,GU97,0)</f>
        <v>0.41666666666666669</v>
      </c>
      <c r="GV99" s="27">
        <f t="shared" si="190"/>
        <v>0.4236111111111111</v>
      </c>
      <c r="GW99" s="27">
        <f t="shared" si="187"/>
        <v>0.43055555555555558</v>
      </c>
      <c r="GX99" s="27">
        <f t="shared" si="187"/>
        <v>0.4375</v>
      </c>
      <c r="GY99" s="27">
        <f t="shared" si="187"/>
        <v>0.44444444444444442</v>
      </c>
      <c r="GZ99" s="27">
        <f t="shared" si="187"/>
        <v>0.46527777777777773</v>
      </c>
      <c r="HA99" s="27">
        <f t="shared" si="187"/>
        <v>0.47222222222222221</v>
      </c>
      <c r="HB99" s="27">
        <f t="shared" si="187"/>
        <v>0.47916666666666663</v>
      </c>
      <c r="HC99" s="27">
        <f t="shared" si="187"/>
        <v>0.4861111111111111</v>
      </c>
      <c r="HD99" s="27">
        <f t="shared" ref="HD99:HF99" si="191">HD98+TIME(0,HD97,0)</f>
        <v>0.49305555555555552</v>
      </c>
      <c r="HE99" s="27">
        <f t="shared" si="191"/>
        <v>0.5</v>
      </c>
      <c r="HF99" s="27">
        <f t="shared" si="191"/>
        <v>0.50694444444444442</v>
      </c>
      <c r="HG99" s="27">
        <f t="shared" si="187"/>
        <v>0.51388888888888884</v>
      </c>
      <c r="HH99" s="27">
        <f t="shared" ref="HH99:IA99" si="192">HH98+TIME(0,HH97,0)</f>
        <v>0.52083333333333326</v>
      </c>
      <c r="HI99" s="27">
        <f t="shared" si="192"/>
        <v>0.52777777777777779</v>
      </c>
      <c r="HJ99" s="27">
        <f t="shared" si="192"/>
        <v>0.38194444444444442</v>
      </c>
      <c r="HK99" s="27">
        <f t="shared" si="192"/>
        <v>0.3888888888888889</v>
      </c>
      <c r="HL99" s="27">
        <f t="shared" si="192"/>
        <v>0.39583333333333331</v>
      </c>
      <c r="HM99" s="27">
        <f t="shared" si="192"/>
        <v>0.40277777777777779</v>
      </c>
      <c r="HN99" s="27">
        <f t="shared" si="192"/>
        <v>0.40972222222222221</v>
      </c>
      <c r="HO99" s="27">
        <f t="shared" si="192"/>
        <v>0.41666666666666669</v>
      </c>
      <c r="HP99" s="27">
        <f t="shared" si="192"/>
        <v>0.4236111111111111</v>
      </c>
      <c r="HQ99" s="27">
        <f t="shared" si="192"/>
        <v>0.43055555555555558</v>
      </c>
      <c r="HR99" s="27">
        <f t="shared" si="192"/>
        <v>0.4375</v>
      </c>
      <c r="HS99" s="27">
        <f t="shared" si="192"/>
        <v>0.44444444444444442</v>
      </c>
      <c r="HT99" s="27">
        <f t="shared" si="192"/>
        <v>0.46527777777777773</v>
      </c>
      <c r="HU99" s="27">
        <f t="shared" si="192"/>
        <v>0.47222222222222221</v>
      </c>
      <c r="HV99" s="27">
        <f t="shared" si="192"/>
        <v>0.47916666666666663</v>
      </c>
      <c r="HW99" s="27">
        <f t="shared" si="192"/>
        <v>0.4861111111111111</v>
      </c>
      <c r="HX99" s="27">
        <f t="shared" si="192"/>
        <v>0.49305555555555552</v>
      </c>
      <c r="HY99" s="27">
        <f t="shared" si="192"/>
        <v>0.5</v>
      </c>
      <c r="HZ99" s="27">
        <f t="shared" si="192"/>
        <v>0.50694444444444442</v>
      </c>
      <c r="IA99" s="27">
        <f t="shared" si="192"/>
        <v>0.51388888888888884</v>
      </c>
      <c r="IB99" s="27">
        <f t="shared" ref="IB99:IC99" si="193">IB98+TIME(0,IB97,0)</f>
        <v>0.52083333333333326</v>
      </c>
      <c r="IC99" s="27">
        <f t="shared" si="193"/>
        <v>0.52777777777777779</v>
      </c>
      <c r="ID99" s="45"/>
    </row>
    <row r="100" spans="1:238" s="36" customFormat="1" outlineLevel="1" x14ac:dyDescent="0.15">
      <c r="A100" s="44"/>
      <c r="C100" s="36">
        <v>0</v>
      </c>
      <c r="D100" s="120"/>
      <c r="E100" s="120"/>
      <c r="F100" s="120"/>
      <c r="H100" s="120"/>
      <c r="I100" s="120"/>
      <c r="J100" s="120"/>
      <c r="K100" s="120"/>
      <c r="P100" s="52"/>
      <c r="Q100" s="36">
        <v>0</v>
      </c>
      <c r="R100" s="68">
        <v>0</v>
      </c>
      <c r="S100" s="68">
        <v>0</v>
      </c>
      <c r="T100" s="68">
        <v>0</v>
      </c>
      <c r="U100" s="68">
        <v>0</v>
      </c>
      <c r="V100" s="68">
        <v>1</v>
      </c>
      <c r="W100" s="68">
        <v>1</v>
      </c>
      <c r="X100" s="68">
        <v>1</v>
      </c>
      <c r="Y100" s="68">
        <v>1</v>
      </c>
      <c r="Z100" s="68">
        <v>1</v>
      </c>
      <c r="AA100" s="68">
        <v>1</v>
      </c>
      <c r="AB100" s="68">
        <v>1</v>
      </c>
      <c r="AC100" s="68">
        <v>1</v>
      </c>
      <c r="AD100" s="68">
        <v>1</v>
      </c>
      <c r="AE100" s="68">
        <v>1</v>
      </c>
      <c r="AF100" s="68">
        <v>1</v>
      </c>
      <c r="AG100" s="68">
        <v>0</v>
      </c>
      <c r="AH100" s="68">
        <v>0</v>
      </c>
      <c r="AI100" s="68">
        <v>1</v>
      </c>
      <c r="AJ100" s="68">
        <v>1</v>
      </c>
      <c r="AK100" s="68">
        <v>1</v>
      </c>
      <c r="AL100" s="68">
        <v>0</v>
      </c>
      <c r="AM100" s="68">
        <v>0</v>
      </c>
      <c r="AN100" s="68">
        <v>0</v>
      </c>
      <c r="AO100" s="68">
        <v>0</v>
      </c>
      <c r="AP100" s="68">
        <v>0</v>
      </c>
      <c r="AQ100" s="68">
        <v>0</v>
      </c>
      <c r="AR100" s="68">
        <v>0</v>
      </c>
      <c r="AS100" s="68">
        <v>0</v>
      </c>
      <c r="AT100" s="68">
        <v>0</v>
      </c>
      <c r="AU100" s="68">
        <v>0</v>
      </c>
      <c r="AV100" s="68">
        <v>1</v>
      </c>
      <c r="AW100" s="68">
        <v>1</v>
      </c>
      <c r="AX100" s="68">
        <v>1</v>
      </c>
      <c r="AY100" s="68">
        <v>1</v>
      </c>
      <c r="AZ100" s="68">
        <v>1</v>
      </c>
      <c r="BA100" s="68">
        <v>1</v>
      </c>
      <c r="BB100" s="68">
        <v>1</v>
      </c>
      <c r="BC100" s="68">
        <v>1</v>
      </c>
      <c r="BD100" s="68">
        <v>1</v>
      </c>
      <c r="BE100" s="68">
        <v>1</v>
      </c>
      <c r="BF100" s="68">
        <v>0</v>
      </c>
      <c r="BG100" s="68">
        <v>0</v>
      </c>
      <c r="BH100" s="68">
        <v>0</v>
      </c>
      <c r="BI100" s="68">
        <v>0</v>
      </c>
      <c r="BJ100" s="68">
        <v>0</v>
      </c>
      <c r="BK100" s="68">
        <v>1</v>
      </c>
      <c r="BL100" s="68">
        <v>1</v>
      </c>
      <c r="BM100" s="68">
        <v>1</v>
      </c>
      <c r="BN100" s="68">
        <v>1</v>
      </c>
      <c r="BO100" s="68">
        <v>1</v>
      </c>
      <c r="BP100" s="68">
        <v>1</v>
      </c>
      <c r="BQ100" s="68">
        <v>1</v>
      </c>
      <c r="BR100" s="68">
        <v>1</v>
      </c>
      <c r="BS100" s="68">
        <v>1</v>
      </c>
      <c r="BT100" s="68">
        <v>1</v>
      </c>
      <c r="BU100" s="68">
        <v>1</v>
      </c>
      <c r="BV100" s="68">
        <v>1</v>
      </c>
      <c r="BW100" s="68">
        <v>1</v>
      </c>
      <c r="BX100" s="68">
        <v>1</v>
      </c>
      <c r="BY100" s="68">
        <v>1</v>
      </c>
      <c r="BZ100" s="68">
        <v>0</v>
      </c>
      <c r="CA100" s="68">
        <v>0</v>
      </c>
      <c r="CB100" s="68">
        <v>0</v>
      </c>
      <c r="CC100" s="68">
        <v>1</v>
      </c>
      <c r="CD100" s="68">
        <v>1</v>
      </c>
      <c r="CE100" s="68">
        <v>1</v>
      </c>
      <c r="CF100" s="68">
        <v>1</v>
      </c>
      <c r="CG100" s="68">
        <v>1</v>
      </c>
      <c r="CH100" s="68">
        <v>1</v>
      </c>
      <c r="CI100" s="68">
        <v>1</v>
      </c>
      <c r="CJ100" s="68">
        <v>1</v>
      </c>
      <c r="CK100" s="68">
        <v>1</v>
      </c>
      <c r="CL100" s="68">
        <v>1</v>
      </c>
      <c r="CM100" s="68">
        <v>1</v>
      </c>
      <c r="CN100" s="68">
        <v>1</v>
      </c>
      <c r="CO100" s="68">
        <v>1</v>
      </c>
      <c r="CP100" s="68">
        <v>1</v>
      </c>
      <c r="CQ100" s="68">
        <v>1</v>
      </c>
      <c r="CR100" s="68">
        <v>1</v>
      </c>
      <c r="CS100" s="68">
        <v>1</v>
      </c>
      <c r="CT100" s="68">
        <v>0</v>
      </c>
      <c r="CU100" s="68">
        <v>1</v>
      </c>
      <c r="CV100" s="68">
        <v>1</v>
      </c>
      <c r="CW100" s="68">
        <v>1</v>
      </c>
      <c r="CX100" s="68">
        <v>1</v>
      </c>
      <c r="CY100" s="68">
        <v>1</v>
      </c>
      <c r="CZ100" s="68">
        <v>1</v>
      </c>
      <c r="DA100" s="68">
        <v>1</v>
      </c>
      <c r="DB100" s="68">
        <v>1</v>
      </c>
      <c r="DC100" s="68">
        <v>1</v>
      </c>
      <c r="DD100" s="68">
        <v>1</v>
      </c>
      <c r="DE100" s="68">
        <v>1</v>
      </c>
      <c r="DF100" s="68">
        <v>1</v>
      </c>
      <c r="DG100" s="68">
        <v>1</v>
      </c>
      <c r="DH100" s="68">
        <v>1</v>
      </c>
      <c r="DI100" s="68">
        <v>1</v>
      </c>
      <c r="DJ100" s="68">
        <v>1</v>
      </c>
      <c r="DK100" s="68">
        <v>1</v>
      </c>
      <c r="DL100" s="68">
        <v>1</v>
      </c>
      <c r="DM100" s="68">
        <v>1</v>
      </c>
      <c r="DN100" s="68">
        <v>0</v>
      </c>
      <c r="DO100" s="68">
        <v>0</v>
      </c>
      <c r="DP100" s="68">
        <v>0</v>
      </c>
      <c r="DQ100" s="68">
        <v>1</v>
      </c>
      <c r="DR100" s="68">
        <v>1</v>
      </c>
      <c r="DS100" s="68">
        <v>1</v>
      </c>
      <c r="DT100" s="68">
        <v>1</v>
      </c>
      <c r="DU100" s="68">
        <v>1</v>
      </c>
      <c r="DV100" s="68">
        <v>1</v>
      </c>
      <c r="DW100" s="68">
        <v>1</v>
      </c>
      <c r="DX100" s="68">
        <v>1</v>
      </c>
      <c r="DY100" s="68">
        <v>1</v>
      </c>
      <c r="DZ100" s="68">
        <v>1</v>
      </c>
      <c r="EA100" s="68">
        <v>1</v>
      </c>
      <c r="EB100" s="68">
        <v>1</v>
      </c>
      <c r="EC100" s="68">
        <v>0</v>
      </c>
      <c r="ED100" s="68">
        <v>0</v>
      </c>
      <c r="EE100" s="68">
        <v>1</v>
      </c>
      <c r="EF100" s="68">
        <v>1</v>
      </c>
      <c r="EG100" s="68">
        <v>1</v>
      </c>
      <c r="EH100" s="68">
        <v>0</v>
      </c>
      <c r="EI100" s="68">
        <v>0</v>
      </c>
      <c r="EJ100" s="68">
        <v>0</v>
      </c>
      <c r="EK100" s="68">
        <v>1</v>
      </c>
      <c r="EL100" s="68">
        <v>1</v>
      </c>
      <c r="EM100" s="68">
        <v>1</v>
      </c>
      <c r="EN100" s="68">
        <v>1</v>
      </c>
      <c r="EO100" s="68">
        <v>1</v>
      </c>
      <c r="EP100" s="68">
        <v>1</v>
      </c>
      <c r="EQ100" s="68">
        <v>1</v>
      </c>
      <c r="ER100" s="68">
        <v>1</v>
      </c>
      <c r="ES100" s="68">
        <v>1</v>
      </c>
      <c r="ET100" s="68">
        <v>1</v>
      </c>
      <c r="EU100" s="68">
        <v>1</v>
      </c>
      <c r="EV100" s="68">
        <v>1</v>
      </c>
      <c r="EW100" s="68">
        <v>1</v>
      </c>
      <c r="EX100" s="68">
        <v>1</v>
      </c>
      <c r="EY100" s="68">
        <v>1</v>
      </c>
      <c r="EZ100" s="68">
        <v>1</v>
      </c>
      <c r="FA100" s="68">
        <v>1</v>
      </c>
      <c r="FB100" s="68">
        <v>0</v>
      </c>
      <c r="FC100" s="68">
        <v>1</v>
      </c>
      <c r="FD100" s="68">
        <v>1</v>
      </c>
      <c r="FE100" s="68">
        <v>1</v>
      </c>
      <c r="FF100" s="68">
        <v>1</v>
      </c>
      <c r="FG100" s="68">
        <v>1</v>
      </c>
      <c r="FH100" s="68">
        <v>1</v>
      </c>
      <c r="FI100" s="68">
        <v>1</v>
      </c>
      <c r="FJ100" s="68">
        <v>1</v>
      </c>
      <c r="FK100" s="68">
        <v>1</v>
      </c>
      <c r="FL100" s="68">
        <v>1</v>
      </c>
      <c r="FM100" s="68">
        <v>1</v>
      </c>
      <c r="FN100" s="68">
        <v>1</v>
      </c>
      <c r="FO100" s="68">
        <v>1</v>
      </c>
      <c r="FP100" s="68">
        <v>1</v>
      </c>
      <c r="FQ100" s="68">
        <v>1</v>
      </c>
      <c r="FR100" s="68">
        <v>1</v>
      </c>
      <c r="FS100" s="68">
        <v>1</v>
      </c>
      <c r="FT100" s="68">
        <v>1</v>
      </c>
      <c r="FU100" s="68">
        <v>1</v>
      </c>
      <c r="FV100" s="68">
        <v>0</v>
      </c>
      <c r="FW100" s="68">
        <v>1</v>
      </c>
      <c r="FX100" s="68">
        <v>1</v>
      </c>
      <c r="FY100" s="68">
        <v>1</v>
      </c>
      <c r="FZ100" s="68">
        <v>1</v>
      </c>
      <c r="GA100" s="68">
        <v>1</v>
      </c>
      <c r="GB100" s="68">
        <v>1</v>
      </c>
      <c r="GC100" s="68">
        <v>1</v>
      </c>
      <c r="GD100" s="68">
        <v>1</v>
      </c>
      <c r="GE100" s="68">
        <v>1</v>
      </c>
      <c r="GF100" s="68">
        <v>1</v>
      </c>
      <c r="GG100" s="68">
        <v>1</v>
      </c>
      <c r="GH100" s="68">
        <v>1</v>
      </c>
      <c r="GI100" s="68">
        <v>1</v>
      </c>
      <c r="GJ100" s="68">
        <v>1</v>
      </c>
      <c r="GK100" s="68">
        <v>1</v>
      </c>
      <c r="GL100" s="68">
        <v>1</v>
      </c>
      <c r="GM100" s="68">
        <v>1</v>
      </c>
      <c r="GN100" s="68">
        <v>1</v>
      </c>
      <c r="GO100" s="68">
        <v>1</v>
      </c>
      <c r="GP100" s="68">
        <v>0</v>
      </c>
      <c r="GQ100" s="68">
        <v>1</v>
      </c>
      <c r="GR100" s="68">
        <v>1</v>
      </c>
      <c r="GS100" s="68">
        <v>1</v>
      </c>
      <c r="GT100" s="68">
        <v>1</v>
      </c>
      <c r="GU100" s="68">
        <v>1</v>
      </c>
      <c r="GV100" s="68">
        <v>1</v>
      </c>
      <c r="GW100" s="68">
        <v>1</v>
      </c>
      <c r="GX100" s="68">
        <v>1</v>
      </c>
      <c r="GY100" s="68">
        <v>1</v>
      </c>
      <c r="GZ100" s="68">
        <v>0</v>
      </c>
      <c r="HA100" s="68">
        <v>0</v>
      </c>
      <c r="HB100" s="68">
        <v>0</v>
      </c>
      <c r="HC100" s="68">
        <v>0</v>
      </c>
      <c r="HD100" s="68">
        <v>0</v>
      </c>
      <c r="HE100" s="68">
        <v>0</v>
      </c>
      <c r="HF100" s="68">
        <v>0</v>
      </c>
      <c r="HG100" s="68">
        <v>0</v>
      </c>
      <c r="HH100" s="68">
        <v>0</v>
      </c>
      <c r="HI100" s="68">
        <v>0</v>
      </c>
      <c r="HJ100" s="68">
        <v>0</v>
      </c>
      <c r="HK100" s="68">
        <v>0</v>
      </c>
      <c r="HL100" s="68">
        <v>0</v>
      </c>
      <c r="HM100" s="68">
        <v>0</v>
      </c>
      <c r="HN100" s="68">
        <v>0</v>
      </c>
      <c r="HO100" s="68">
        <v>0</v>
      </c>
      <c r="HP100" s="68">
        <v>0</v>
      </c>
      <c r="HQ100" s="68">
        <v>0</v>
      </c>
      <c r="HR100" s="68">
        <v>0</v>
      </c>
      <c r="HS100" s="68">
        <v>0</v>
      </c>
      <c r="HT100" s="68">
        <v>0</v>
      </c>
      <c r="HU100" s="68">
        <v>0</v>
      </c>
      <c r="HV100" s="68">
        <v>0</v>
      </c>
      <c r="HW100" s="68">
        <v>0</v>
      </c>
      <c r="HX100" s="68">
        <v>0</v>
      </c>
      <c r="HY100" s="68">
        <v>0</v>
      </c>
      <c r="HZ100" s="68">
        <v>0</v>
      </c>
      <c r="IA100" s="68">
        <v>0</v>
      </c>
      <c r="IB100" s="68">
        <v>0</v>
      </c>
      <c r="IC100" s="68">
        <v>0</v>
      </c>
      <c r="ID100" s="45"/>
    </row>
    <row r="101" spans="1:238" outlineLevel="1" x14ac:dyDescent="0.15">
      <c r="A101" s="24">
        <v>1</v>
      </c>
      <c r="B101">
        <f>1+A101</f>
        <v>2</v>
      </c>
      <c r="C101">
        <f t="shared" ref="C101:D101" si="194">1+B101</f>
        <v>3</v>
      </c>
      <c r="D101">
        <f t="shared" si="194"/>
        <v>4</v>
      </c>
      <c r="E101">
        <f t="shared" ref="E101:F101" si="195">1+D101</f>
        <v>5</v>
      </c>
      <c r="F101">
        <f t="shared" si="195"/>
        <v>6</v>
      </c>
      <c r="G101">
        <f t="shared" ref="G101:H101" si="196">1+F101</f>
        <v>7</v>
      </c>
      <c r="H101">
        <f t="shared" si="196"/>
        <v>8</v>
      </c>
      <c r="I101">
        <f t="shared" ref="I101:J101" si="197">1+H101</f>
        <v>9</v>
      </c>
      <c r="J101">
        <f t="shared" si="197"/>
        <v>10</v>
      </c>
      <c r="K101">
        <f t="shared" ref="K101:L101" si="198">1+J101</f>
        <v>11</v>
      </c>
      <c r="L101">
        <f t="shared" si="198"/>
        <v>12</v>
      </c>
      <c r="M101">
        <f t="shared" ref="M101:N101" si="199">1+L101</f>
        <v>13</v>
      </c>
      <c r="N101">
        <f t="shared" si="199"/>
        <v>14</v>
      </c>
      <c r="O101">
        <f t="shared" ref="O101:P101" si="200">1+N101</f>
        <v>15</v>
      </c>
      <c r="P101">
        <f t="shared" si="200"/>
        <v>16</v>
      </c>
      <c r="Q101">
        <f t="shared" ref="Q101:R101" si="201">1+P101</f>
        <v>17</v>
      </c>
      <c r="R101">
        <f t="shared" si="201"/>
        <v>18</v>
      </c>
      <c r="S101">
        <f t="shared" ref="S101:T101" si="202">1+R101</f>
        <v>19</v>
      </c>
      <c r="T101">
        <f t="shared" si="202"/>
        <v>20</v>
      </c>
      <c r="U101">
        <f t="shared" ref="U101:V101" si="203">1+T101</f>
        <v>21</v>
      </c>
      <c r="V101">
        <f t="shared" si="203"/>
        <v>22</v>
      </c>
      <c r="W101">
        <f t="shared" ref="W101:X101" si="204">1+V101</f>
        <v>23</v>
      </c>
      <c r="X101">
        <f t="shared" si="204"/>
        <v>24</v>
      </c>
      <c r="Y101">
        <f t="shared" ref="Y101:Z101" si="205">1+X101</f>
        <v>25</v>
      </c>
      <c r="Z101">
        <f t="shared" si="205"/>
        <v>26</v>
      </c>
      <c r="AA101">
        <f t="shared" ref="AA101:AB101" si="206">1+Z101</f>
        <v>27</v>
      </c>
      <c r="AB101">
        <f t="shared" si="206"/>
        <v>28</v>
      </c>
      <c r="AC101">
        <f t="shared" ref="AC101:AD101" si="207">1+AB101</f>
        <v>29</v>
      </c>
      <c r="AD101">
        <f t="shared" si="207"/>
        <v>30</v>
      </c>
      <c r="AE101">
        <f t="shared" ref="AE101:AF101" si="208">1+AD101</f>
        <v>31</v>
      </c>
      <c r="AF101">
        <f t="shared" si="208"/>
        <v>32</v>
      </c>
      <c r="AG101">
        <f t="shared" ref="AG101:AH101" si="209">1+AF101</f>
        <v>33</v>
      </c>
      <c r="AH101">
        <f t="shared" si="209"/>
        <v>34</v>
      </c>
      <c r="AI101">
        <f t="shared" ref="AI101:AJ101" si="210">1+AH101</f>
        <v>35</v>
      </c>
      <c r="AJ101">
        <f t="shared" si="210"/>
        <v>36</v>
      </c>
      <c r="AK101">
        <f t="shared" ref="AK101:AL101" si="211">1+AJ101</f>
        <v>37</v>
      </c>
      <c r="AL101">
        <f t="shared" si="211"/>
        <v>38</v>
      </c>
      <c r="AM101">
        <f t="shared" ref="AM101:AN101" si="212">1+AL101</f>
        <v>39</v>
      </c>
      <c r="AN101">
        <f t="shared" si="212"/>
        <v>40</v>
      </c>
      <c r="AO101">
        <f t="shared" ref="AO101:AP101" si="213">1+AN101</f>
        <v>41</v>
      </c>
      <c r="AP101">
        <f t="shared" si="213"/>
        <v>42</v>
      </c>
      <c r="AQ101">
        <f t="shared" ref="AQ101:AR101" si="214">1+AP101</f>
        <v>43</v>
      </c>
      <c r="AR101">
        <f t="shared" si="214"/>
        <v>44</v>
      </c>
      <c r="AS101">
        <f t="shared" ref="AS101:AT101" si="215">1+AR101</f>
        <v>45</v>
      </c>
      <c r="AT101">
        <f t="shared" si="215"/>
        <v>46</v>
      </c>
      <c r="AU101">
        <f t="shared" ref="AU101:AV101" si="216">1+AT101</f>
        <v>47</v>
      </c>
      <c r="AV101">
        <f t="shared" si="216"/>
        <v>48</v>
      </c>
      <c r="AW101">
        <f t="shared" ref="AW101:AX101" si="217">1+AV101</f>
        <v>49</v>
      </c>
      <c r="AX101">
        <f t="shared" si="217"/>
        <v>50</v>
      </c>
      <c r="AY101">
        <f t="shared" ref="AY101:AZ101" si="218">1+AX101</f>
        <v>51</v>
      </c>
      <c r="AZ101">
        <f t="shared" si="218"/>
        <v>52</v>
      </c>
      <c r="BA101">
        <f t="shared" ref="BA101:BB101" si="219">1+AZ101</f>
        <v>53</v>
      </c>
      <c r="BB101">
        <f t="shared" si="219"/>
        <v>54</v>
      </c>
      <c r="BC101">
        <f t="shared" ref="BC101:BD101" si="220">1+BB101</f>
        <v>55</v>
      </c>
      <c r="BD101">
        <f t="shared" si="220"/>
        <v>56</v>
      </c>
      <c r="BE101">
        <f t="shared" ref="BE101:BF101" si="221">1+BD101</f>
        <v>57</v>
      </c>
      <c r="BF101">
        <f t="shared" si="221"/>
        <v>58</v>
      </c>
      <c r="BG101">
        <f t="shared" ref="BG101:BH101" si="222">1+BF101</f>
        <v>59</v>
      </c>
      <c r="BH101">
        <f t="shared" si="222"/>
        <v>60</v>
      </c>
      <c r="BI101">
        <f t="shared" ref="BI101:BJ101" si="223">1+BH101</f>
        <v>61</v>
      </c>
      <c r="BJ101">
        <f t="shared" si="223"/>
        <v>62</v>
      </c>
      <c r="BK101">
        <f t="shared" ref="BK101:BL101" si="224">1+BJ101</f>
        <v>63</v>
      </c>
      <c r="BL101">
        <f t="shared" si="224"/>
        <v>64</v>
      </c>
      <c r="BM101">
        <f t="shared" ref="BM101:BN101" si="225">1+BL101</f>
        <v>65</v>
      </c>
      <c r="BN101">
        <f t="shared" si="225"/>
        <v>66</v>
      </c>
      <c r="BO101">
        <f t="shared" ref="BO101:BP101" si="226">1+BN101</f>
        <v>67</v>
      </c>
      <c r="BP101">
        <f t="shared" si="226"/>
        <v>68</v>
      </c>
      <c r="BQ101">
        <f t="shared" ref="BQ101:BR101" si="227">1+BP101</f>
        <v>69</v>
      </c>
      <c r="BR101">
        <f t="shared" si="227"/>
        <v>70</v>
      </c>
      <c r="BS101">
        <f t="shared" ref="BS101:BT101" si="228">1+BR101</f>
        <v>71</v>
      </c>
      <c r="BT101">
        <f t="shared" si="228"/>
        <v>72</v>
      </c>
      <c r="BU101">
        <f t="shared" ref="BU101:BV101" si="229">1+BT101</f>
        <v>73</v>
      </c>
      <c r="BV101">
        <f t="shared" si="229"/>
        <v>74</v>
      </c>
      <c r="BW101">
        <f t="shared" ref="BW101:BX101" si="230">1+BV101</f>
        <v>75</v>
      </c>
      <c r="BX101">
        <f t="shared" si="230"/>
        <v>76</v>
      </c>
      <c r="BY101">
        <f t="shared" ref="BY101:BZ101" si="231">1+BX101</f>
        <v>77</v>
      </c>
      <c r="BZ101">
        <f t="shared" si="231"/>
        <v>78</v>
      </c>
      <c r="CA101">
        <f t="shared" ref="CA101:CB101" si="232">1+BZ101</f>
        <v>79</v>
      </c>
      <c r="CB101">
        <f t="shared" si="232"/>
        <v>80</v>
      </c>
      <c r="CC101">
        <f t="shared" ref="CC101:CD101" si="233">1+CB101</f>
        <v>81</v>
      </c>
      <c r="CD101">
        <f t="shared" si="233"/>
        <v>82</v>
      </c>
      <c r="CE101">
        <f t="shared" ref="CE101:CF101" si="234">1+CD101</f>
        <v>83</v>
      </c>
      <c r="CF101">
        <f t="shared" si="234"/>
        <v>84</v>
      </c>
      <c r="CG101">
        <f t="shared" ref="CG101:CH101" si="235">1+CF101</f>
        <v>85</v>
      </c>
      <c r="CH101">
        <f t="shared" si="235"/>
        <v>86</v>
      </c>
      <c r="CI101">
        <f t="shared" ref="CI101:CJ101" si="236">1+CH101</f>
        <v>87</v>
      </c>
      <c r="CJ101">
        <f t="shared" si="236"/>
        <v>88</v>
      </c>
      <c r="CK101">
        <f t="shared" ref="CK101:CL101" si="237">1+CJ101</f>
        <v>89</v>
      </c>
      <c r="CL101">
        <f t="shared" si="237"/>
        <v>90</v>
      </c>
      <c r="CM101">
        <f t="shared" ref="CM101:CN101" si="238">1+CL101</f>
        <v>91</v>
      </c>
      <c r="CN101">
        <f t="shared" si="238"/>
        <v>92</v>
      </c>
      <c r="CO101">
        <f t="shared" ref="CO101:CP101" si="239">1+CN101</f>
        <v>93</v>
      </c>
      <c r="CP101">
        <f t="shared" si="239"/>
        <v>94</v>
      </c>
      <c r="CQ101">
        <f t="shared" ref="CQ101:CR101" si="240">1+CP101</f>
        <v>95</v>
      </c>
      <c r="CR101">
        <f t="shared" si="240"/>
        <v>96</v>
      </c>
      <c r="CS101">
        <f t="shared" ref="CS101:CT101" si="241">1+CR101</f>
        <v>97</v>
      </c>
      <c r="CT101">
        <f t="shared" si="241"/>
        <v>98</v>
      </c>
      <c r="CU101">
        <f t="shared" ref="CU101:CV101" si="242">1+CT101</f>
        <v>99</v>
      </c>
      <c r="CV101">
        <f t="shared" si="242"/>
        <v>100</v>
      </c>
      <c r="CW101">
        <f t="shared" ref="CW101:CX101" si="243">1+CV101</f>
        <v>101</v>
      </c>
      <c r="CX101">
        <f t="shared" si="243"/>
        <v>102</v>
      </c>
      <c r="CY101">
        <f t="shared" ref="CY101:CZ101" si="244">1+CX101</f>
        <v>103</v>
      </c>
      <c r="CZ101">
        <f t="shared" si="244"/>
        <v>104</v>
      </c>
      <c r="DA101">
        <f t="shared" ref="DA101:DB101" si="245">1+CZ101</f>
        <v>105</v>
      </c>
      <c r="DB101">
        <f t="shared" si="245"/>
        <v>106</v>
      </c>
      <c r="DC101">
        <f t="shared" ref="DC101:DD101" si="246">1+DB101</f>
        <v>107</v>
      </c>
      <c r="DD101">
        <f t="shared" si="246"/>
        <v>108</v>
      </c>
      <c r="DE101">
        <f t="shared" ref="DE101:DF101" si="247">1+DD101</f>
        <v>109</v>
      </c>
      <c r="DF101">
        <f t="shared" si="247"/>
        <v>110</v>
      </c>
      <c r="DG101">
        <f t="shared" ref="DG101:DH101" si="248">1+DF101</f>
        <v>111</v>
      </c>
      <c r="DH101">
        <f t="shared" si="248"/>
        <v>112</v>
      </c>
      <c r="DI101">
        <f t="shared" ref="DI101:DJ101" si="249">1+DH101</f>
        <v>113</v>
      </c>
      <c r="DJ101">
        <f t="shared" si="249"/>
        <v>114</v>
      </c>
      <c r="DK101">
        <f t="shared" ref="DK101:DL101" si="250">1+DJ101</f>
        <v>115</v>
      </c>
      <c r="DL101">
        <f t="shared" si="250"/>
        <v>116</v>
      </c>
      <c r="DM101">
        <f t="shared" ref="DM101:DN101" si="251">1+DL101</f>
        <v>117</v>
      </c>
      <c r="DN101">
        <f t="shared" si="251"/>
        <v>118</v>
      </c>
      <c r="DO101">
        <f t="shared" ref="DO101:DP101" si="252">1+DN101</f>
        <v>119</v>
      </c>
      <c r="DP101">
        <f t="shared" si="252"/>
        <v>120</v>
      </c>
      <c r="DQ101">
        <f t="shared" ref="DQ101:DR101" si="253">1+DP101</f>
        <v>121</v>
      </c>
      <c r="DR101">
        <f t="shared" si="253"/>
        <v>122</v>
      </c>
      <c r="DS101">
        <f t="shared" ref="DS101:DT101" si="254">1+DR101</f>
        <v>123</v>
      </c>
      <c r="DT101">
        <f t="shared" si="254"/>
        <v>124</v>
      </c>
      <c r="DU101">
        <f t="shared" ref="DU101:DV101" si="255">1+DT101</f>
        <v>125</v>
      </c>
      <c r="DV101">
        <f t="shared" si="255"/>
        <v>126</v>
      </c>
      <c r="DW101">
        <f t="shared" ref="DW101:DX101" si="256">1+DV101</f>
        <v>127</v>
      </c>
      <c r="DX101">
        <f t="shared" si="256"/>
        <v>128</v>
      </c>
      <c r="DY101">
        <f t="shared" ref="DY101:DZ101" si="257">1+DX101</f>
        <v>129</v>
      </c>
      <c r="DZ101">
        <f t="shared" si="257"/>
        <v>130</v>
      </c>
      <c r="EA101">
        <f t="shared" ref="EA101:EB101" si="258">1+DZ101</f>
        <v>131</v>
      </c>
      <c r="EB101">
        <f t="shared" si="258"/>
        <v>132</v>
      </c>
      <c r="EC101">
        <f t="shared" ref="EC101:ED101" si="259">1+EB101</f>
        <v>133</v>
      </c>
      <c r="ED101">
        <f t="shared" si="259"/>
        <v>134</v>
      </c>
      <c r="EE101">
        <f t="shared" ref="EE101:EF101" si="260">1+ED101</f>
        <v>135</v>
      </c>
      <c r="EF101">
        <f t="shared" si="260"/>
        <v>136</v>
      </c>
      <c r="EG101">
        <f t="shared" ref="EG101:EH101" si="261">1+EF101</f>
        <v>137</v>
      </c>
      <c r="EH101">
        <f t="shared" si="261"/>
        <v>138</v>
      </c>
      <c r="EI101">
        <f t="shared" ref="EI101:EJ101" si="262">1+EH101</f>
        <v>139</v>
      </c>
      <c r="EJ101">
        <f t="shared" si="262"/>
        <v>140</v>
      </c>
      <c r="EK101">
        <f t="shared" ref="EK101:EL101" si="263">1+EJ101</f>
        <v>141</v>
      </c>
      <c r="EL101">
        <f t="shared" si="263"/>
        <v>142</v>
      </c>
      <c r="EM101">
        <f t="shared" ref="EM101:EN101" si="264">1+EL101</f>
        <v>143</v>
      </c>
      <c r="EN101">
        <f t="shared" si="264"/>
        <v>144</v>
      </c>
      <c r="EO101">
        <f t="shared" ref="EO101:EP101" si="265">1+EN101</f>
        <v>145</v>
      </c>
      <c r="EP101">
        <f t="shared" si="265"/>
        <v>146</v>
      </c>
      <c r="EQ101">
        <f t="shared" ref="EQ101:ER101" si="266">1+EP101</f>
        <v>147</v>
      </c>
      <c r="ER101">
        <f t="shared" si="266"/>
        <v>148</v>
      </c>
      <c r="ES101">
        <f t="shared" ref="ES101:ET101" si="267">1+ER101</f>
        <v>149</v>
      </c>
      <c r="ET101">
        <f t="shared" si="267"/>
        <v>150</v>
      </c>
      <c r="EU101">
        <f t="shared" ref="EU101:EV101" si="268">1+ET101</f>
        <v>151</v>
      </c>
      <c r="EV101">
        <f t="shared" si="268"/>
        <v>152</v>
      </c>
      <c r="EW101">
        <f t="shared" ref="EW101:EX101" si="269">1+EV101</f>
        <v>153</v>
      </c>
      <c r="EX101">
        <f t="shared" si="269"/>
        <v>154</v>
      </c>
      <c r="EY101">
        <f t="shared" ref="EY101:EZ101" si="270">1+EX101</f>
        <v>155</v>
      </c>
      <c r="EZ101">
        <f t="shared" si="270"/>
        <v>156</v>
      </c>
      <c r="FA101">
        <f t="shared" ref="FA101:FB101" si="271">1+EZ101</f>
        <v>157</v>
      </c>
      <c r="FB101">
        <f t="shared" si="271"/>
        <v>158</v>
      </c>
      <c r="FC101">
        <f t="shared" ref="FC101:FD101" si="272">1+FB101</f>
        <v>159</v>
      </c>
      <c r="FD101">
        <f t="shared" si="272"/>
        <v>160</v>
      </c>
      <c r="FE101">
        <f t="shared" ref="FE101:FF101" si="273">1+FD101</f>
        <v>161</v>
      </c>
      <c r="FF101">
        <f t="shared" si="273"/>
        <v>162</v>
      </c>
      <c r="FG101">
        <f t="shared" ref="FG101:FH101" si="274">1+FF101</f>
        <v>163</v>
      </c>
      <c r="FH101">
        <f t="shared" si="274"/>
        <v>164</v>
      </c>
      <c r="FI101">
        <f t="shared" ref="FI101:FJ101" si="275">1+FH101</f>
        <v>165</v>
      </c>
      <c r="FJ101">
        <f t="shared" si="275"/>
        <v>166</v>
      </c>
      <c r="FK101">
        <f t="shared" ref="FK101:FL101" si="276">1+FJ101</f>
        <v>167</v>
      </c>
      <c r="FL101">
        <f t="shared" si="276"/>
        <v>168</v>
      </c>
      <c r="FM101">
        <f t="shared" ref="FM101:FN101" si="277">1+FL101</f>
        <v>169</v>
      </c>
      <c r="FN101">
        <f t="shared" si="277"/>
        <v>170</v>
      </c>
      <c r="FO101">
        <f t="shared" ref="FO101:FP101" si="278">1+FN101</f>
        <v>171</v>
      </c>
      <c r="FP101">
        <f t="shared" si="278"/>
        <v>172</v>
      </c>
      <c r="FQ101">
        <f t="shared" ref="FQ101:FR101" si="279">1+FP101</f>
        <v>173</v>
      </c>
      <c r="FR101">
        <f t="shared" si="279"/>
        <v>174</v>
      </c>
      <c r="FS101">
        <f t="shared" ref="FS101:FT101" si="280">1+FR101</f>
        <v>175</v>
      </c>
      <c r="FT101">
        <f t="shared" si="280"/>
        <v>176</v>
      </c>
      <c r="FU101">
        <f t="shared" ref="FU101:FV101" si="281">1+FT101</f>
        <v>177</v>
      </c>
      <c r="FV101">
        <f t="shared" si="281"/>
        <v>178</v>
      </c>
      <c r="FW101">
        <f t="shared" ref="FW101:FX101" si="282">1+FV101</f>
        <v>179</v>
      </c>
      <c r="FX101">
        <f t="shared" si="282"/>
        <v>180</v>
      </c>
      <c r="FY101">
        <f t="shared" ref="FY101:FZ101" si="283">1+FX101</f>
        <v>181</v>
      </c>
      <c r="FZ101">
        <f t="shared" si="283"/>
        <v>182</v>
      </c>
      <c r="GA101">
        <f t="shared" ref="GA101:GB101" si="284">1+FZ101</f>
        <v>183</v>
      </c>
      <c r="GB101">
        <f t="shared" si="284"/>
        <v>184</v>
      </c>
      <c r="GC101">
        <f t="shared" ref="GC101:GD101" si="285">1+GB101</f>
        <v>185</v>
      </c>
      <c r="GD101">
        <f t="shared" si="285"/>
        <v>186</v>
      </c>
      <c r="GE101">
        <f t="shared" ref="GE101:GF101" si="286">1+GD101</f>
        <v>187</v>
      </c>
      <c r="GF101">
        <f t="shared" si="286"/>
        <v>188</v>
      </c>
      <c r="GG101">
        <f t="shared" ref="GG101:GH101" si="287">1+GF101</f>
        <v>189</v>
      </c>
      <c r="GH101">
        <f t="shared" si="287"/>
        <v>190</v>
      </c>
      <c r="GI101">
        <f t="shared" ref="GI101:GJ101" si="288">1+GH101</f>
        <v>191</v>
      </c>
      <c r="GJ101">
        <f t="shared" si="288"/>
        <v>192</v>
      </c>
      <c r="GK101">
        <f t="shared" ref="GK101:GL101" si="289">1+GJ101</f>
        <v>193</v>
      </c>
      <c r="GL101">
        <f t="shared" si="289"/>
        <v>194</v>
      </c>
      <c r="GM101">
        <f t="shared" ref="GM101:GN101" si="290">1+GL101</f>
        <v>195</v>
      </c>
      <c r="GN101">
        <f t="shared" si="290"/>
        <v>196</v>
      </c>
      <c r="GO101">
        <f t="shared" ref="GO101" si="291">1+GN101</f>
        <v>197</v>
      </c>
      <c r="GP101">
        <f>1+GO101</f>
        <v>198</v>
      </c>
      <c r="GQ101">
        <f t="shared" ref="GQ101:GR101" si="292">1+GP101</f>
        <v>199</v>
      </c>
      <c r="GR101">
        <f t="shared" si="292"/>
        <v>200</v>
      </c>
      <c r="GS101">
        <f t="shared" ref="GS101:GT101" si="293">1+GR101</f>
        <v>201</v>
      </c>
      <c r="GT101">
        <f t="shared" si="293"/>
        <v>202</v>
      </c>
      <c r="GU101">
        <f t="shared" ref="GU101:GV101" si="294">1+GT101</f>
        <v>203</v>
      </c>
      <c r="GV101">
        <f t="shared" si="294"/>
        <v>204</v>
      </c>
      <c r="GW101">
        <f t="shared" ref="GW101:GX101" si="295">1+GV101</f>
        <v>205</v>
      </c>
      <c r="GX101">
        <f t="shared" si="295"/>
        <v>206</v>
      </c>
      <c r="GY101">
        <f t="shared" ref="GY101:GZ101" si="296">1+GX101</f>
        <v>207</v>
      </c>
      <c r="GZ101">
        <f t="shared" si="296"/>
        <v>208</v>
      </c>
      <c r="HA101">
        <f t="shared" ref="HA101:HB101" si="297">1+GZ101</f>
        <v>209</v>
      </c>
      <c r="HB101">
        <f t="shared" si="297"/>
        <v>210</v>
      </c>
      <c r="HC101">
        <f t="shared" ref="HC101:HD101" si="298">1+HB101</f>
        <v>211</v>
      </c>
      <c r="HD101">
        <f t="shared" si="298"/>
        <v>212</v>
      </c>
      <c r="HE101">
        <f t="shared" ref="HE101:HF101" si="299">1+HD101</f>
        <v>213</v>
      </c>
      <c r="HF101">
        <f t="shared" si="299"/>
        <v>214</v>
      </c>
      <c r="HG101">
        <f t="shared" ref="HG101:HH101" si="300">1+HF101</f>
        <v>215</v>
      </c>
      <c r="HH101">
        <f t="shared" si="300"/>
        <v>216</v>
      </c>
      <c r="HI101">
        <f t="shared" ref="HI101" si="301">1+HH101</f>
        <v>217</v>
      </c>
      <c r="HJ101">
        <f>1+HI101</f>
        <v>218</v>
      </c>
      <c r="HK101">
        <f t="shared" ref="HK101" si="302">1+HJ101</f>
        <v>219</v>
      </c>
      <c r="HL101">
        <f t="shared" ref="HL101" si="303">1+HK101</f>
        <v>220</v>
      </c>
      <c r="HM101">
        <f t="shared" ref="HM101" si="304">1+HL101</f>
        <v>221</v>
      </c>
      <c r="HN101">
        <f t="shared" ref="HN101" si="305">1+HM101</f>
        <v>222</v>
      </c>
      <c r="HO101">
        <f t="shared" ref="HO101" si="306">1+HN101</f>
        <v>223</v>
      </c>
      <c r="HP101">
        <f t="shared" ref="HP101" si="307">1+HO101</f>
        <v>224</v>
      </c>
      <c r="HQ101">
        <f t="shared" ref="HQ101" si="308">1+HP101</f>
        <v>225</v>
      </c>
      <c r="HR101">
        <f t="shared" ref="HR101" si="309">1+HQ101</f>
        <v>226</v>
      </c>
      <c r="HS101">
        <f t="shared" ref="HS101" si="310">1+HR101</f>
        <v>227</v>
      </c>
      <c r="HT101">
        <f t="shared" ref="HT101" si="311">1+HS101</f>
        <v>228</v>
      </c>
      <c r="HU101">
        <f t="shared" ref="HU101" si="312">1+HT101</f>
        <v>229</v>
      </c>
      <c r="HV101">
        <f t="shared" ref="HV101" si="313">1+HU101</f>
        <v>230</v>
      </c>
      <c r="HW101">
        <f t="shared" ref="HW101" si="314">1+HV101</f>
        <v>231</v>
      </c>
      <c r="HX101">
        <f t="shared" ref="HX101" si="315">1+HW101</f>
        <v>232</v>
      </c>
      <c r="HY101">
        <f t="shared" ref="HY101" si="316">1+HX101</f>
        <v>233</v>
      </c>
      <c r="HZ101">
        <f t="shared" ref="HZ101" si="317">1+HY101</f>
        <v>234</v>
      </c>
      <c r="IA101">
        <f t="shared" ref="IA101" si="318">1+HZ101</f>
        <v>235</v>
      </c>
      <c r="IB101">
        <f t="shared" ref="IB101" si="319">1+IA101</f>
        <v>236</v>
      </c>
      <c r="IC101">
        <f t="shared" ref="IC101" si="320">1+IB101</f>
        <v>237</v>
      </c>
    </row>
    <row r="102" spans="1:238" x14ac:dyDescent="0.15">
      <c r="A102" s="24"/>
      <c r="D102" s="119"/>
      <c r="E102" s="119"/>
      <c r="F102" s="119"/>
      <c r="G102" s="119"/>
      <c r="H102" s="119"/>
      <c r="I102" s="119"/>
      <c r="J102" s="119"/>
      <c r="K102" s="119"/>
    </row>
    <row r="103" spans="1:238" x14ac:dyDescent="0.15">
      <c r="D103" s="119"/>
      <c r="E103" s="119"/>
      <c r="F103" s="119"/>
      <c r="G103" s="119"/>
      <c r="H103" s="119"/>
      <c r="I103" s="119"/>
      <c r="J103" s="119"/>
      <c r="K103" s="119"/>
    </row>
    <row r="104" spans="1:238" x14ac:dyDescent="0.15">
      <c r="A104" s="24"/>
      <c r="D104" s="119"/>
      <c r="E104" s="119"/>
      <c r="F104" s="119"/>
      <c r="G104" s="119"/>
      <c r="H104" s="119"/>
      <c r="I104" s="119"/>
      <c r="J104" s="119"/>
      <c r="K104" s="119"/>
    </row>
    <row r="105" spans="1:238" x14ac:dyDescent="0.15">
      <c r="A105" s="24"/>
      <c r="D105" s="119"/>
      <c r="E105" s="119"/>
      <c r="F105" s="119"/>
      <c r="G105" s="119"/>
      <c r="H105" s="119"/>
      <c r="I105" s="119"/>
      <c r="J105" s="119"/>
      <c r="K105" s="119"/>
    </row>
    <row r="106" spans="1:238" x14ac:dyDescent="0.15">
      <c r="A106" s="24"/>
      <c r="D106" s="119"/>
      <c r="E106" s="119"/>
      <c r="F106" s="119"/>
      <c r="G106" s="119"/>
      <c r="H106" s="119"/>
      <c r="I106" s="119"/>
      <c r="J106" s="119"/>
      <c r="K106" s="119"/>
    </row>
    <row r="107" spans="1:238" x14ac:dyDescent="0.15">
      <c r="D107" s="119"/>
      <c r="E107" s="119"/>
      <c r="F107" s="119"/>
      <c r="G107" s="119"/>
      <c r="H107" s="119"/>
      <c r="I107" s="119"/>
      <c r="J107" s="119"/>
      <c r="K107" s="119"/>
    </row>
    <row r="108" spans="1:238" x14ac:dyDescent="0.15">
      <c r="D108" s="119"/>
      <c r="E108" s="119"/>
      <c r="F108" s="119"/>
      <c r="G108" s="119"/>
      <c r="H108" s="119"/>
      <c r="I108" s="119"/>
      <c r="J108" s="119"/>
      <c r="K108" s="119"/>
    </row>
    <row r="109" spans="1:238" x14ac:dyDescent="0.15">
      <c r="D109" s="119"/>
      <c r="E109" s="119"/>
      <c r="F109" s="119"/>
      <c r="G109" s="119"/>
      <c r="H109" s="119"/>
      <c r="I109" s="119"/>
      <c r="J109" s="119"/>
      <c r="K109" s="119"/>
    </row>
    <row r="110" spans="1:238" x14ac:dyDescent="0.15">
      <c r="D110" s="119"/>
      <c r="E110" s="119"/>
      <c r="F110" s="119"/>
      <c r="G110" s="119"/>
      <c r="H110" s="119"/>
      <c r="I110" s="119"/>
      <c r="J110" s="119"/>
      <c r="K110" s="119"/>
    </row>
    <row r="111" spans="1:238" x14ac:dyDescent="0.15">
      <c r="D111" s="119"/>
      <c r="E111" s="119"/>
      <c r="F111" s="119"/>
      <c r="G111" s="119"/>
      <c r="H111" s="119"/>
      <c r="I111" s="119"/>
      <c r="J111" s="119"/>
      <c r="K111" s="119"/>
    </row>
    <row r="112" spans="1:238" x14ac:dyDescent="0.15">
      <c r="D112" s="119"/>
      <c r="E112" s="119"/>
      <c r="F112" s="119"/>
      <c r="G112" s="119"/>
      <c r="H112" s="119"/>
      <c r="I112" s="119"/>
      <c r="J112" s="119"/>
      <c r="K112" s="119"/>
    </row>
    <row r="113" spans="4:11" x14ac:dyDescent="0.15">
      <c r="D113" s="119"/>
      <c r="E113" s="119"/>
      <c r="F113" s="119"/>
      <c r="G113" s="119"/>
      <c r="H113" s="119"/>
      <c r="I113" s="119"/>
      <c r="J113" s="119"/>
      <c r="K113" s="119"/>
    </row>
    <row r="114" spans="4:11" x14ac:dyDescent="0.15">
      <c r="D114" s="119"/>
      <c r="E114" s="119"/>
      <c r="F114" s="119"/>
      <c r="G114" s="119"/>
      <c r="H114" s="119"/>
      <c r="I114" s="119"/>
      <c r="J114" s="119"/>
      <c r="K114" s="119"/>
    </row>
    <row r="115" spans="4:11" x14ac:dyDescent="0.15">
      <c r="D115" s="119"/>
      <c r="E115" s="119"/>
      <c r="F115" s="119"/>
      <c r="G115" s="119"/>
      <c r="H115" s="119"/>
      <c r="I115" s="119"/>
      <c r="J115" s="119"/>
      <c r="K115" s="119"/>
    </row>
    <row r="116" spans="4:11" x14ac:dyDescent="0.15">
      <c r="D116" s="119"/>
      <c r="E116" s="119"/>
      <c r="F116" s="119"/>
      <c r="G116" s="119"/>
      <c r="H116" s="119"/>
      <c r="I116" s="119"/>
      <c r="J116" s="119"/>
      <c r="K116" s="119"/>
    </row>
    <row r="117" spans="4:11" x14ac:dyDescent="0.15">
      <c r="D117" s="119"/>
      <c r="E117" s="119"/>
      <c r="F117" s="119"/>
      <c r="G117" s="119"/>
      <c r="H117" s="119"/>
      <c r="I117" s="119"/>
      <c r="J117" s="119"/>
      <c r="K117" s="119"/>
    </row>
    <row r="118" spans="4:11" x14ac:dyDescent="0.15">
      <c r="D118" s="119"/>
      <c r="E118" s="119"/>
      <c r="F118" s="119"/>
      <c r="G118" s="119"/>
      <c r="H118" s="119"/>
      <c r="I118" s="119"/>
      <c r="J118" s="119"/>
      <c r="K118" s="119"/>
    </row>
    <row r="119" spans="4:11" x14ac:dyDescent="0.15">
      <c r="D119" s="119"/>
      <c r="E119" s="119"/>
      <c r="F119" s="119"/>
      <c r="G119" s="119"/>
      <c r="H119" s="119"/>
      <c r="I119" s="119"/>
      <c r="J119" s="119"/>
      <c r="K119" s="119"/>
    </row>
    <row r="120" spans="4:11" x14ac:dyDescent="0.15">
      <c r="D120" s="119"/>
      <c r="E120" s="119"/>
      <c r="F120" s="119"/>
      <c r="G120" s="119"/>
      <c r="H120" s="119"/>
      <c r="I120" s="119"/>
      <c r="J120" s="119"/>
      <c r="K120" s="119"/>
    </row>
    <row r="121" spans="4:11" x14ac:dyDescent="0.15">
      <c r="D121" s="119"/>
      <c r="E121" s="119"/>
      <c r="F121" s="119"/>
      <c r="G121" s="119"/>
      <c r="H121" s="119"/>
      <c r="I121" s="119"/>
      <c r="J121" s="119"/>
      <c r="K121" s="119"/>
    </row>
    <row r="122" spans="4:11" x14ac:dyDescent="0.15">
      <c r="D122" s="119"/>
      <c r="E122" s="119"/>
      <c r="F122" s="119"/>
      <c r="G122" s="119"/>
      <c r="H122" s="119"/>
      <c r="I122" s="119"/>
      <c r="J122" s="119"/>
      <c r="K122" s="119"/>
    </row>
    <row r="123" spans="4:11" x14ac:dyDescent="0.15">
      <c r="D123" s="119"/>
      <c r="E123" s="119"/>
      <c r="F123" s="119"/>
      <c r="G123" s="119"/>
      <c r="H123" s="119"/>
      <c r="I123" s="119"/>
      <c r="J123" s="119"/>
      <c r="K123" s="119"/>
    </row>
    <row r="124" spans="4:11" x14ac:dyDescent="0.15">
      <c r="D124" s="119"/>
      <c r="E124" s="119"/>
      <c r="F124" s="119"/>
      <c r="G124" s="119"/>
      <c r="H124" s="119"/>
      <c r="I124" s="119"/>
      <c r="J124" s="119"/>
      <c r="K124" s="119"/>
    </row>
    <row r="125" spans="4:11" x14ac:dyDescent="0.15">
      <c r="D125" s="119"/>
      <c r="E125" s="119"/>
      <c r="F125" s="119"/>
      <c r="G125" s="119"/>
      <c r="H125" s="119"/>
      <c r="I125" s="119"/>
      <c r="J125" s="119"/>
      <c r="K125" s="119"/>
    </row>
    <row r="126" spans="4:11" x14ac:dyDescent="0.15">
      <c r="D126" s="119"/>
      <c r="E126" s="119"/>
      <c r="F126" s="119"/>
      <c r="G126" s="119"/>
      <c r="H126" s="119"/>
      <c r="I126" s="119"/>
      <c r="J126" s="119"/>
      <c r="K126" s="119"/>
    </row>
    <row r="127" spans="4:11" x14ac:dyDescent="0.15">
      <c r="D127" s="119"/>
      <c r="E127" s="119"/>
      <c r="F127" s="119"/>
      <c r="G127" s="119"/>
      <c r="H127" s="119"/>
      <c r="I127" s="119"/>
      <c r="J127" s="119"/>
      <c r="K127" s="119"/>
    </row>
    <row r="128" spans="4:11" x14ac:dyDescent="0.15">
      <c r="D128" s="119"/>
      <c r="E128" s="119"/>
      <c r="F128" s="119"/>
      <c r="G128" s="119"/>
      <c r="H128" s="119"/>
      <c r="I128" s="119"/>
      <c r="J128" s="119"/>
      <c r="K128" s="119"/>
    </row>
    <row r="129" spans="4:11" x14ac:dyDescent="0.15">
      <c r="D129" s="119"/>
      <c r="E129" s="119"/>
      <c r="F129" s="119"/>
      <c r="G129" s="119"/>
      <c r="H129" s="119"/>
      <c r="I129" s="119"/>
      <c r="J129" s="119"/>
      <c r="K129" s="119"/>
    </row>
    <row r="130" spans="4:11" x14ac:dyDescent="0.15">
      <c r="D130" s="119"/>
      <c r="E130" s="119"/>
      <c r="F130" s="119"/>
      <c r="G130" s="119"/>
      <c r="H130" s="119"/>
      <c r="I130" s="119"/>
      <c r="J130" s="119"/>
      <c r="K130" s="119"/>
    </row>
    <row r="131" spans="4:11" x14ac:dyDescent="0.15">
      <c r="D131" s="119"/>
      <c r="E131" s="119"/>
      <c r="F131" s="119"/>
      <c r="G131" s="119"/>
      <c r="H131" s="119"/>
      <c r="I131" s="119"/>
      <c r="J131" s="119"/>
      <c r="K131" s="119"/>
    </row>
    <row r="132" spans="4:11" x14ac:dyDescent="0.15">
      <c r="D132" s="119"/>
      <c r="E132" s="119"/>
      <c r="F132" s="119"/>
      <c r="G132" s="119"/>
      <c r="H132" s="119"/>
      <c r="I132" s="119"/>
      <c r="J132" s="119"/>
      <c r="K132" s="119"/>
    </row>
    <row r="133" spans="4:11" x14ac:dyDescent="0.15">
      <c r="D133" s="119"/>
      <c r="E133" s="119"/>
      <c r="F133" s="119"/>
      <c r="G133" s="119"/>
      <c r="H133" s="119"/>
      <c r="I133" s="119"/>
      <c r="J133" s="119"/>
      <c r="K133" s="119"/>
    </row>
    <row r="134" spans="4:11" x14ac:dyDescent="0.15">
      <c r="D134" s="119"/>
      <c r="E134" s="119"/>
      <c r="F134" s="119"/>
      <c r="G134" s="119"/>
      <c r="H134" s="119"/>
      <c r="I134" s="119"/>
      <c r="J134" s="119"/>
      <c r="K134" s="119"/>
    </row>
    <row r="135" spans="4:11" x14ac:dyDescent="0.15">
      <c r="D135" s="119"/>
      <c r="E135" s="119"/>
      <c r="F135" s="119"/>
      <c r="G135" s="119"/>
      <c r="H135" s="119"/>
      <c r="I135" s="119"/>
      <c r="J135" s="119"/>
      <c r="K135" s="119"/>
    </row>
    <row r="136" spans="4:11" x14ac:dyDescent="0.15">
      <c r="D136" s="119"/>
      <c r="E136" s="119"/>
      <c r="F136" s="119"/>
      <c r="G136" s="119"/>
      <c r="H136" s="119"/>
      <c r="I136" s="119"/>
      <c r="J136" s="119"/>
      <c r="K136" s="119"/>
    </row>
    <row r="137" spans="4:11" x14ac:dyDescent="0.15">
      <c r="D137" s="119"/>
      <c r="E137" s="119"/>
      <c r="F137" s="119"/>
      <c r="G137" s="119"/>
      <c r="H137" s="119"/>
      <c r="I137" s="119"/>
      <c r="J137" s="119"/>
      <c r="K137" s="119"/>
    </row>
    <row r="138" spans="4:11" x14ac:dyDescent="0.15">
      <c r="D138" s="119"/>
      <c r="E138" s="119"/>
      <c r="F138" s="119"/>
      <c r="G138" s="119"/>
      <c r="H138" s="119"/>
      <c r="I138" s="119"/>
      <c r="J138" s="119"/>
      <c r="K138" s="119"/>
    </row>
    <row r="139" spans="4:11" x14ac:dyDescent="0.15">
      <c r="D139" s="119"/>
      <c r="E139" s="119"/>
      <c r="F139" s="119"/>
      <c r="G139" s="119"/>
      <c r="H139" s="119"/>
      <c r="I139" s="119"/>
      <c r="J139" s="119"/>
      <c r="K139" s="119"/>
    </row>
    <row r="140" spans="4:11" x14ac:dyDescent="0.15">
      <c r="D140" s="119"/>
      <c r="E140" s="119"/>
      <c r="F140" s="119"/>
      <c r="G140" s="119"/>
      <c r="H140" s="119"/>
      <c r="I140" s="119"/>
      <c r="J140" s="119"/>
      <c r="K140" s="119"/>
    </row>
    <row r="141" spans="4:11" x14ac:dyDescent="0.15">
      <c r="D141" s="119"/>
      <c r="E141" s="119"/>
      <c r="F141" s="119"/>
      <c r="G141" s="119"/>
      <c r="H141" s="119"/>
      <c r="I141" s="119"/>
      <c r="J141" s="119"/>
      <c r="K141" s="119"/>
    </row>
    <row r="142" spans="4:11" x14ac:dyDescent="0.15">
      <c r="D142" s="119"/>
      <c r="E142" s="119"/>
      <c r="F142" s="119"/>
      <c r="G142" s="119"/>
      <c r="H142" s="119"/>
      <c r="I142" s="119"/>
      <c r="J142" s="119"/>
      <c r="K142" s="119"/>
    </row>
    <row r="143" spans="4:11" x14ac:dyDescent="0.15">
      <c r="D143" s="119"/>
      <c r="E143" s="119"/>
      <c r="F143" s="119"/>
      <c r="G143" s="119"/>
      <c r="H143" s="119"/>
      <c r="I143" s="119"/>
      <c r="J143" s="119"/>
      <c r="K143" s="119"/>
    </row>
    <row r="144" spans="4:11" x14ac:dyDescent="0.15">
      <c r="D144" s="119"/>
      <c r="E144" s="119"/>
      <c r="F144" s="119"/>
      <c r="G144" s="119"/>
      <c r="H144" s="119"/>
      <c r="I144" s="119"/>
      <c r="J144" s="119"/>
      <c r="K144" s="119"/>
    </row>
    <row r="145" spans="4:11" x14ac:dyDescent="0.15">
      <c r="D145" s="119"/>
      <c r="E145" s="119"/>
      <c r="F145" s="119"/>
      <c r="G145" s="119"/>
      <c r="H145" s="119"/>
      <c r="I145" s="119"/>
      <c r="J145" s="119"/>
      <c r="K145" s="119"/>
    </row>
    <row r="146" spans="4:11" x14ac:dyDescent="0.15">
      <c r="D146" s="119"/>
      <c r="E146" s="119"/>
      <c r="F146" s="119"/>
      <c r="G146" s="119"/>
      <c r="H146" s="119"/>
      <c r="I146" s="119"/>
      <c r="J146" s="119"/>
      <c r="K146" s="119"/>
    </row>
    <row r="147" spans="4:11" x14ac:dyDescent="0.15">
      <c r="D147" s="119"/>
      <c r="E147" s="119"/>
      <c r="F147" s="119"/>
      <c r="G147" s="119"/>
      <c r="H147" s="119"/>
      <c r="I147" s="119"/>
      <c r="J147" s="119"/>
      <c r="K147" s="119"/>
    </row>
    <row r="148" spans="4:11" x14ac:dyDescent="0.15">
      <c r="D148" s="119"/>
      <c r="E148" s="119"/>
      <c r="F148" s="119"/>
      <c r="G148" s="119"/>
      <c r="H148" s="119"/>
      <c r="I148" s="119"/>
      <c r="J148" s="119"/>
      <c r="K148" s="119"/>
    </row>
    <row r="149" spans="4:11" x14ac:dyDescent="0.15">
      <c r="D149" s="119"/>
      <c r="E149" s="119"/>
      <c r="F149" s="119"/>
      <c r="G149" s="119"/>
      <c r="H149" s="119"/>
      <c r="I149" s="119"/>
      <c r="J149" s="119"/>
      <c r="K149" s="119"/>
    </row>
    <row r="150" spans="4:11" x14ac:dyDescent="0.15">
      <c r="D150" s="119"/>
      <c r="E150" s="119"/>
      <c r="F150" s="119"/>
      <c r="G150" s="119"/>
      <c r="H150" s="119"/>
      <c r="I150" s="119"/>
      <c r="J150" s="119"/>
      <c r="K150" s="119"/>
    </row>
    <row r="151" spans="4:11" x14ac:dyDescent="0.15">
      <c r="D151" s="119"/>
      <c r="E151" s="119"/>
      <c r="F151" s="119"/>
      <c r="G151" s="119"/>
      <c r="H151" s="119"/>
      <c r="I151" s="119"/>
      <c r="J151" s="119"/>
      <c r="K151" s="119"/>
    </row>
    <row r="152" spans="4:11" x14ac:dyDescent="0.15">
      <c r="D152" s="119"/>
      <c r="E152" s="119"/>
      <c r="F152" s="119"/>
      <c r="G152" s="119"/>
      <c r="H152" s="119"/>
      <c r="I152" s="119"/>
      <c r="J152" s="119"/>
      <c r="K152" s="119"/>
    </row>
    <row r="153" spans="4:11" x14ac:dyDescent="0.15">
      <c r="D153" s="119"/>
      <c r="E153" s="119"/>
      <c r="F153" s="119"/>
      <c r="G153" s="119"/>
      <c r="H153" s="119"/>
      <c r="I153" s="119"/>
      <c r="J153" s="119"/>
      <c r="K153" s="119"/>
    </row>
    <row r="154" spans="4:11" x14ac:dyDescent="0.15">
      <c r="D154" s="119"/>
      <c r="E154" s="119"/>
      <c r="F154" s="119"/>
      <c r="G154" s="119"/>
      <c r="H154" s="119"/>
      <c r="I154" s="119"/>
      <c r="J154" s="119"/>
      <c r="K154" s="119"/>
    </row>
    <row r="155" spans="4:11" x14ac:dyDescent="0.15">
      <c r="D155" s="119"/>
      <c r="E155" s="119"/>
      <c r="F155" s="119"/>
      <c r="G155" s="119"/>
      <c r="H155" s="119"/>
      <c r="I155" s="119"/>
      <c r="J155" s="119"/>
      <c r="K155" s="119"/>
    </row>
    <row r="156" spans="4:11" x14ac:dyDescent="0.15">
      <c r="D156" s="119"/>
      <c r="E156" s="119"/>
      <c r="F156" s="119"/>
      <c r="G156" s="119"/>
      <c r="H156" s="119"/>
      <c r="I156" s="119"/>
      <c r="J156" s="119"/>
      <c r="K156" s="119"/>
    </row>
    <row r="157" spans="4:11" x14ac:dyDescent="0.15">
      <c r="D157" s="119"/>
      <c r="E157" s="119"/>
      <c r="F157" s="119"/>
      <c r="G157" s="119"/>
      <c r="H157" s="119"/>
      <c r="I157" s="119"/>
      <c r="J157" s="119"/>
      <c r="K157" s="119"/>
    </row>
    <row r="158" spans="4:11" x14ac:dyDescent="0.15">
      <c r="D158" s="119"/>
      <c r="E158" s="119"/>
      <c r="F158" s="119"/>
      <c r="G158" s="119"/>
      <c r="H158" s="119"/>
      <c r="I158" s="119"/>
      <c r="J158" s="119"/>
      <c r="K158" s="119"/>
    </row>
    <row r="159" spans="4:11" x14ac:dyDescent="0.15">
      <c r="D159" s="119"/>
      <c r="E159" s="119"/>
      <c r="F159" s="119"/>
      <c r="G159" s="119"/>
      <c r="H159" s="119"/>
      <c r="I159" s="119"/>
      <c r="J159" s="119"/>
      <c r="K159" s="119"/>
    </row>
    <row r="160" spans="4:11" x14ac:dyDescent="0.15">
      <c r="D160" s="119"/>
      <c r="E160" s="119"/>
      <c r="F160" s="119"/>
      <c r="G160" s="119"/>
      <c r="H160" s="119"/>
      <c r="I160" s="119"/>
      <c r="J160" s="119"/>
      <c r="K160" s="119"/>
    </row>
    <row r="161" spans="4:11" x14ac:dyDescent="0.15">
      <c r="D161" s="119"/>
      <c r="E161" s="119"/>
      <c r="F161" s="119"/>
      <c r="G161" s="119"/>
      <c r="H161" s="119"/>
      <c r="I161" s="119"/>
      <c r="J161" s="119"/>
      <c r="K161" s="119"/>
    </row>
    <row r="162" spans="4:11" x14ac:dyDescent="0.15">
      <c r="D162" s="119"/>
      <c r="E162" s="119"/>
      <c r="F162" s="119"/>
      <c r="G162" s="119"/>
      <c r="H162" s="119"/>
      <c r="I162" s="119"/>
      <c r="J162" s="119"/>
      <c r="K162" s="119"/>
    </row>
    <row r="163" spans="4:11" x14ac:dyDescent="0.15">
      <c r="D163" s="119"/>
      <c r="E163" s="119"/>
      <c r="F163" s="119"/>
      <c r="G163" s="119"/>
      <c r="H163" s="119"/>
      <c r="I163" s="119"/>
      <c r="J163" s="119"/>
      <c r="K163" s="119"/>
    </row>
    <row r="164" spans="4:11" x14ac:dyDescent="0.15">
      <c r="D164" s="119"/>
      <c r="E164" s="119"/>
      <c r="F164" s="119"/>
      <c r="G164" s="119"/>
      <c r="H164" s="119"/>
      <c r="I164" s="119"/>
      <c r="J164" s="119"/>
      <c r="K164" s="119"/>
    </row>
    <row r="165" spans="4:11" x14ac:dyDescent="0.15">
      <c r="D165" s="119"/>
      <c r="E165" s="119"/>
      <c r="F165" s="119"/>
      <c r="G165" s="119"/>
      <c r="H165" s="119"/>
      <c r="I165" s="119"/>
      <c r="J165" s="119"/>
      <c r="K165" s="119"/>
    </row>
    <row r="166" spans="4:11" x14ac:dyDescent="0.15">
      <c r="D166" s="119"/>
      <c r="E166" s="119"/>
      <c r="F166" s="119"/>
      <c r="G166" s="119"/>
      <c r="H166" s="119"/>
      <c r="I166" s="119"/>
      <c r="J166" s="119"/>
      <c r="K166" s="119"/>
    </row>
    <row r="167" spans="4:11" x14ac:dyDescent="0.15">
      <c r="D167" s="119"/>
      <c r="E167" s="119"/>
      <c r="F167" s="119"/>
      <c r="G167" s="119"/>
      <c r="H167" s="119"/>
      <c r="I167" s="119"/>
      <c r="J167" s="119"/>
      <c r="K167" s="119"/>
    </row>
    <row r="168" spans="4:11" x14ac:dyDescent="0.15">
      <c r="D168" s="119"/>
      <c r="E168" s="119"/>
      <c r="F168" s="119"/>
      <c r="G168" s="119"/>
      <c r="H168" s="119"/>
      <c r="I168" s="119"/>
      <c r="J168" s="119"/>
      <c r="K168" s="119"/>
    </row>
    <row r="169" spans="4:11" x14ac:dyDescent="0.15">
      <c r="D169" s="119"/>
      <c r="E169" s="119"/>
      <c r="F169" s="119"/>
      <c r="G169" s="119"/>
      <c r="H169" s="119"/>
      <c r="I169" s="119"/>
      <c r="J169" s="119"/>
      <c r="K169" s="119"/>
    </row>
    <row r="170" spans="4:11" x14ac:dyDescent="0.15">
      <c r="D170" s="119"/>
      <c r="E170" s="119"/>
      <c r="F170" s="119"/>
      <c r="G170" s="119"/>
      <c r="H170" s="119"/>
      <c r="I170" s="119"/>
      <c r="J170" s="119"/>
      <c r="K170" s="119"/>
    </row>
    <row r="171" spans="4:11" x14ac:dyDescent="0.15">
      <c r="D171" s="119"/>
      <c r="E171" s="119"/>
      <c r="F171" s="119"/>
      <c r="G171" s="119"/>
      <c r="H171" s="119"/>
      <c r="I171" s="119"/>
      <c r="J171" s="119"/>
      <c r="K171" s="119"/>
    </row>
    <row r="172" spans="4:11" x14ac:dyDescent="0.15">
      <c r="D172" s="119"/>
      <c r="E172" s="119"/>
      <c r="F172" s="119"/>
      <c r="G172" s="119"/>
      <c r="H172" s="119"/>
      <c r="I172" s="119"/>
      <c r="J172" s="119"/>
      <c r="K172" s="119"/>
    </row>
    <row r="173" spans="4:11" x14ac:dyDescent="0.15">
      <c r="D173" s="119"/>
      <c r="E173" s="119"/>
      <c r="F173" s="119"/>
      <c r="G173" s="119"/>
      <c r="H173" s="119"/>
      <c r="I173" s="119"/>
      <c r="J173" s="119"/>
      <c r="K173" s="119"/>
    </row>
    <row r="174" spans="4:11" x14ac:dyDescent="0.15">
      <c r="D174" s="119"/>
      <c r="E174" s="119"/>
      <c r="F174" s="119"/>
      <c r="G174" s="119"/>
      <c r="H174" s="119"/>
      <c r="I174" s="119"/>
      <c r="J174" s="119"/>
      <c r="K174" s="119"/>
    </row>
    <row r="175" spans="4:11" x14ac:dyDescent="0.15">
      <c r="D175" s="119"/>
      <c r="E175" s="119"/>
      <c r="F175" s="119"/>
      <c r="G175" s="119"/>
      <c r="H175" s="119"/>
      <c r="I175" s="119"/>
      <c r="J175" s="119"/>
      <c r="K175" s="119"/>
    </row>
    <row r="176" spans="4:11" x14ac:dyDescent="0.15">
      <c r="D176" s="119"/>
      <c r="E176" s="119"/>
      <c r="F176" s="119"/>
      <c r="G176" s="119"/>
      <c r="H176" s="119"/>
      <c r="I176" s="119"/>
      <c r="J176" s="119"/>
      <c r="K176" s="119"/>
    </row>
    <row r="177" spans="4:11" x14ac:dyDescent="0.15">
      <c r="D177" s="119"/>
      <c r="E177" s="119"/>
      <c r="F177" s="119"/>
      <c r="G177" s="119"/>
      <c r="H177" s="119"/>
      <c r="I177" s="119"/>
      <c r="J177" s="119"/>
      <c r="K177" s="119"/>
    </row>
    <row r="178" spans="4:11" x14ac:dyDescent="0.15">
      <c r="D178" s="119"/>
      <c r="E178" s="119"/>
      <c r="F178" s="119"/>
      <c r="G178" s="119"/>
      <c r="H178" s="119"/>
      <c r="I178" s="119"/>
      <c r="J178" s="119"/>
      <c r="K178" s="119"/>
    </row>
    <row r="179" spans="4:11" x14ac:dyDescent="0.15">
      <c r="D179" s="119"/>
      <c r="E179" s="119"/>
      <c r="F179" s="119"/>
      <c r="G179" s="119"/>
      <c r="H179" s="119"/>
      <c r="I179" s="119"/>
      <c r="J179" s="119"/>
      <c r="K179" s="119"/>
    </row>
    <row r="180" spans="4:11" x14ac:dyDescent="0.15">
      <c r="D180" s="119"/>
      <c r="E180" s="119"/>
      <c r="F180" s="119"/>
      <c r="G180" s="119"/>
      <c r="H180" s="119"/>
      <c r="I180" s="119"/>
      <c r="J180" s="119"/>
      <c r="K180" s="119"/>
    </row>
    <row r="181" spans="4:11" x14ac:dyDescent="0.15">
      <c r="D181" s="119"/>
      <c r="E181" s="119"/>
      <c r="F181" s="119"/>
      <c r="G181" s="119"/>
      <c r="H181" s="119"/>
      <c r="I181" s="119"/>
      <c r="J181" s="119"/>
      <c r="K181" s="119"/>
    </row>
    <row r="182" spans="4:11" x14ac:dyDescent="0.15">
      <c r="D182" s="119"/>
      <c r="E182" s="119"/>
      <c r="F182" s="119"/>
      <c r="G182" s="119"/>
      <c r="H182" s="119"/>
      <c r="I182" s="119"/>
      <c r="J182" s="119"/>
      <c r="K182" s="119"/>
    </row>
    <row r="183" spans="4:11" x14ac:dyDescent="0.15">
      <c r="D183" s="119"/>
      <c r="E183" s="119"/>
      <c r="F183" s="119"/>
      <c r="G183" s="119"/>
      <c r="H183" s="119"/>
      <c r="I183" s="119"/>
      <c r="J183" s="119"/>
      <c r="K183" s="119"/>
    </row>
    <row r="184" spans="4:11" x14ac:dyDescent="0.15">
      <c r="D184" s="119"/>
      <c r="E184" s="119"/>
      <c r="F184" s="119"/>
      <c r="G184" s="119"/>
      <c r="H184" s="119"/>
      <c r="I184" s="119"/>
      <c r="J184" s="119"/>
      <c r="K184" s="119"/>
    </row>
    <row r="185" spans="4:11" x14ac:dyDescent="0.15">
      <c r="D185" s="119"/>
      <c r="E185" s="119"/>
      <c r="F185" s="119"/>
      <c r="G185" s="119"/>
      <c r="H185" s="119"/>
      <c r="I185" s="119"/>
      <c r="J185" s="119"/>
      <c r="K185" s="119"/>
    </row>
    <row r="186" spans="4:11" x14ac:dyDescent="0.15">
      <c r="D186" s="119"/>
      <c r="E186" s="119"/>
      <c r="F186" s="119"/>
      <c r="G186" s="119"/>
      <c r="H186" s="119"/>
      <c r="I186" s="119"/>
      <c r="J186" s="119"/>
      <c r="K186" s="119"/>
    </row>
    <row r="187" spans="4:11" x14ac:dyDescent="0.15">
      <c r="D187" s="119"/>
      <c r="E187" s="119"/>
      <c r="F187" s="119"/>
      <c r="G187" s="119"/>
      <c r="H187" s="119"/>
      <c r="I187" s="119"/>
      <c r="J187" s="119"/>
      <c r="K187" s="119"/>
    </row>
    <row r="188" spans="4:11" x14ac:dyDescent="0.15">
      <c r="D188" s="119"/>
      <c r="E188" s="119"/>
      <c r="F188" s="119"/>
      <c r="G188" s="119"/>
      <c r="H188" s="119"/>
      <c r="I188" s="119"/>
      <c r="J188" s="119"/>
      <c r="K188" s="119"/>
    </row>
    <row r="189" spans="4:11" x14ac:dyDescent="0.15">
      <c r="D189" s="119"/>
      <c r="E189" s="119"/>
      <c r="F189" s="119"/>
      <c r="G189" s="119"/>
      <c r="H189" s="119"/>
      <c r="I189" s="119"/>
      <c r="J189" s="119"/>
      <c r="K189" s="119"/>
    </row>
    <row r="190" spans="4:11" x14ac:dyDescent="0.15">
      <c r="D190" s="119"/>
      <c r="E190" s="119"/>
      <c r="F190" s="119"/>
      <c r="G190" s="119"/>
      <c r="H190" s="119"/>
      <c r="I190" s="119"/>
      <c r="J190" s="119"/>
      <c r="K190" s="119"/>
    </row>
    <row r="191" spans="4:11" x14ac:dyDescent="0.15">
      <c r="D191" s="119"/>
      <c r="E191" s="119"/>
      <c r="F191" s="119"/>
      <c r="G191" s="119"/>
      <c r="H191" s="119"/>
      <c r="I191" s="119"/>
      <c r="J191" s="119"/>
      <c r="K191" s="119"/>
    </row>
    <row r="192" spans="4:11" x14ac:dyDescent="0.15">
      <c r="D192" s="119"/>
      <c r="E192" s="119"/>
      <c r="F192" s="119"/>
      <c r="G192" s="119"/>
      <c r="H192" s="119"/>
      <c r="I192" s="119"/>
      <c r="J192" s="119"/>
      <c r="K192" s="119"/>
    </row>
    <row r="193" spans="4:11" x14ac:dyDescent="0.15">
      <c r="D193" s="119"/>
      <c r="E193" s="119"/>
      <c r="F193" s="119"/>
      <c r="G193" s="119"/>
      <c r="H193" s="119"/>
      <c r="I193" s="119"/>
      <c r="J193" s="119"/>
      <c r="K193" s="119"/>
    </row>
    <row r="194" spans="4:11" x14ac:dyDescent="0.15">
      <c r="D194" s="119"/>
      <c r="E194" s="119"/>
      <c r="F194" s="119"/>
      <c r="G194" s="119"/>
      <c r="H194" s="119"/>
      <c r="I194" s="119"/>
      <c r="J194" s="119"/>
      <c r="K194" s="119"/>
    </row>
    <row r="195" spans="4:11" x14ac:dyDescent="0.15">
      <c r="D195" s="119"/>
      <c r="E195" s="119"/>
      <c r="F195" s="119"/>
      <c r="G195" s="119"/>
      <c r="H195" s="119"/>
      <c r="I195" s="119"/>
      <c r="J195" s="119"/>
      <c r="K195" s="119"/>
    </row>
    <row r="196" spans="4:11" x14ac:dyDescent="0.15">
      <c r="D196" s="119"/>
      <c r="E196" s="119"/>
      <c r="F196" s="119"/>
      <c r="G196" s="119"/>
      <c r="H196" s="119"/>
      <c r="I196" s="119"/>
      <c r="J196" s="119"/>
      <c r="K196" s="119"/>
    </row>
    <row r="197" spans="4:11" x14ac:dyDescent="0.15">
      <c r="D197" s="119"/>
      <c r="E197" s="119"/>
      <c r="F197" s="119"/>
      <c r="G197" s="119"/>
      <c r="H197" s="119"/>
      <c r="I197" s="119"/>
      <c r="J197" s="119"/>
      <c r="K197" s="119"/>
    </row>
    <row r="198" spans="4:11" x14ac:dyDescent="0.15">
      <c r="D198" s="119"/>
      <c r="E198" s="119"/>
      <c r="F198" s="119"/>
      <c r="G198" s="119"/>
      <c r="H198" s="119"/>
      <c r="I198" s="119"/>
      <c r="J198" s="119"/>
      <c r="K198" s="119"/>
    </row>
    <row r="199" spans="4:11" x14ac:dyDescent="0.15">
      <c r="D199" s="119"/>
      <c r="E199" s="119"/>
      <c r="F199" s="119"/>
      <c r="G199" s="119"/>
      <c r="H199" s="119"/>
      <c r="I199" s="119"/>
      <c r="J199" s="119"/>
      <c r="K199" s="119"/>
    </row>
    <row r="200" spans="4:11" x14ac:dyDescent="0.15">
      <c r="D200" s="119"/>
      <c r="E200" s="119"/>
      <c r="F200" s="119"/>
      <c r="G200" s="119"/>
      <c r="H200" s="119"/>
      <c r="I200" s="119"/>
      <c r="J200" s="119"/>
      <c r="K200" s="119"/>
    </row>
    <row r="201" spans="4:11" x14ac:dyDescent="0.15">
      <c r="D201" s="119"/>
      <c r="E201" s="119"/>
      <c r="F201" s="119"/>
      <c r="G201" s="119"/>
      <c r="H201" s="119"/>
      <c r="I201" s="119"/>
      <c r="J201" s="119"/>
      <c r="K201" s="119"/>
    </row>
    <row r="202" spans="4:11" x14ac:dyDescent="0.15">
      <c r="D202" s="119"/>
      <c r="E202" s="119"/>
      <c r="F202" s="119"/>
      <c r="G202" s="119"/>
      <c r="H202" s="119"/>
      <c r="I202" s="119"/>
      <c r="J202" s="119"/>
      <c r="K202" s="119"/>
    </row>
    <row r="203" spans="4:11" x14ac:dyDescent="0.15">
      <c r="D203" s="119"/>
      <c r="E203" s="119"/>
      <c r="F203" s="119"/>
      <c r="G203" s="119"/>
      <c r="H203" s="119"/>
      <c r="I203" s="119"/>
      <c r="J203" s="119"/>
      <c r="K203" s="119"/>
    </row>
    <row r="204" spans="4:11" x14ac:dyDescent="0.15">
      <c r="D204" s="119"/>
      <c r="E204" s="119"/>
      <c r="F204" s="119"/>
      <c r="G204" s="119"/>
      <c r="H204" s="119"/>
      <c r="I204" s="119"/>
      <c r="J204" s="119"/>
      <c r="K204" s="119"/>
    </row>
    <row r="205" spans="4:11" x14ac:dyDescent="0.15">
      <c r="D205" s="119"/>
      <c r="E205" s="119"/>
      <c r="F205" s="119"/>
      <c r="G205" s="119"/>
      <c r="H205" s="119"/>
      <c r="I205" s="119"/>
      <c r="J205" s="119"/>
      <c r="K205" s="119"/>
    </row>
    <row r="206" spans="4:11" x14ac:dyDescent="0.15">
      <c r="D206" s="119"/>
      <c r="E206" s="119"/>
      <c r="F206" s="119"/>
      <c r="G206" s="119"/>
      <c r="H206" s="119"/>
      <c r="I206" s="119"/>
      <c r="J206" s="119"/>
      <c r="K206" s="119"/>
    </row>
    <row r="207" spans="4:11" x14ac:dyDescent="0.15">
      <c r="D207" s="119"/>
      <c r="E207" s="119"/>
      <c r="F207" s="119"/>
      <c r="G207" s="119"/>
      <c r="H207" s="119"/>
      <c r="I207" s="119"/>
      <c r="J207" s="119"/>
      <c r="K207" s="119"/>
    </row>
    <row r="208" spans="4:11" x14ac:dyDescent="0.15">
      <c r="D208" s="119"/>
      <c r="E208" s="119"/>
      <c r="F208" s="119"/>
      <c r="G208" s="119"/>
      <c r="H208" s="119"/>
      <c r="I208" s="119"/>
      <c r="J208" s="119"/>
      <c r="K208" s="119"/>
    </row>
    <row r="209" spans="4:11" x14ac:dyDescent="0.15">
      <c r="D209" s="119"/>
      <c r="E209" s="119"/>
      <c r="F209" s="119"/>
      <c r="G209" s="119"/>
      <c r="H209" s="119"/>
      <c r="I209" s="119"/>
      <c r="J209" s="119"/>
      <c r="K209" s="119"/>
    </row>
    <row r="210" spans="4:11" x14ac:dyDescent="0.15">
      <c r="D210" s="119"/>
      <c r="E210" s="119"/>
      <c r="F210" s="119"/>
      <c r="G210" s="119"/>
      <c r="H210" s="119"/>
      <c r="I210" s="119"/>
      <c r="J210" s="119"/>
      <c r="K210" s="119"/>
    </row>
    <row r="211" spans="4:11" x14ac:dyDescent="0.15">
      <c r="D211" s="119"/>
      <c r="E211" s="119"/>
      <c r="F211" s="119"/>
      <c r="G211" s="119"/>
      <c r="H211" s="119"/>
      <c r="I211" s="119"/>
      <c r="J211" s="119"/>
      <c r="K211" s="119"/>
    </row>
  </sheetData>
  <sheetProtection sheet="1" formatCells="0"/>
  <dataConsolidate/>
  <mergeCells count="137">
    <mergeCell ref="HJ10:IC10"/>
    <mergeCell ref="CR2:DB2"/>
    <mergeCell ref="DC2:DE2"/>
    <mergeCell ref="DF2:DH2"/>
    <mergeCell ref="CS3:DB3"/>
    <mergeCell ref="DC3:DE3"/>
    <mergeCell ref="DF8:DH8"/>
    <mergeCell ref="CJ12:CS12"/>
    <mergeCell ref="CT10:DM10"/>
    <mergeCell ref="CT11:DM11"/>
    <mergeCell ref="CT12:DC12"/>
    <mergeCell ref="DD12:DM12"/>
    <mergeCell ref="GP12:GY12"/>
    <mergeCell ref="FL12:FU12"/>
    <mergeCell ref="BZ10:CS10"/>
    <mergeCell ref="BZ11:CS11"/>
    <mergeCell ref="BZ12:CI12"/>
    <mergeCell ref="CS7:DB7"/>
    <mergeCell ref="DC7:DE7"/>
    <mergeCell ref="DF7:DH7"/>
    <mergeCell ref="DU2:EA2"/>
    <mergeCell ref="DF3:DH3"/>
    <mergeCell ref="DC8:DE8"/>
    <mergeCell ref="DU3:EA6"/>
    <mergeCell ref="BS4:BY4"/>
    <mergeCell ref="DC6:DE6"/>
    <mergeCell ref="DF6:DH6"/>
    <mergeCell ref="CA2:CJ2"/>
    <mergeCell ref="BS2:BY2"/>
    <mergeCell ref="BF3:BG3"/>
    <mergeCell ref="BH3:BR3"/>
    <mergeCell ref="BS3:BY3"/>
    <mergeCell ref="CA5:CJ5"/>
    <mergeCell ref="BH4:BR4"/>
    <mergeCell ref="BF5:BG5"/>
    <mergeCell ref="CK2:CP2"/>
    <mergeCell ref="CA3:CJ3"/>
    <mergeCell ref="CK3:CP3"/>
    <mergeCell ref="CA4:CJ4"/>
    <mergeCell ref="BS5:BY5"/>
    <mergeCell ref="BH6:BR6"/>
    <mergeCell ref="CS5:DB5"/>
    <mergeCell ref="DF5:DH5"/>
    <mergeCell ref="BS6:BY6"/>
    <mergeCell ref="BF4:BG4"/>
    <mergeCell ref="AD2:AJ2"/>
    <mergeCell ref="AD3:AJ3"/>
    <mergeCell ref="AD4:AJ4"/>
    <mergeCell ref="AD5:AJ5"/>
    <mergeCell ref="AY5:BE5"/>
    <mergeCell ref="AN4:AX4"/>
    <mergeCell ref="AN5:AX5"/>
    <mergeCell ref="AN6:AX6"/>
    <mergeCell ref="DX12:EG12"/>
    <mergeCell ref="BF11:BY11"/>
    <mergeCell ref="AL3:AM3"/>
    <mergeCell ref="AL4:AM4"/>
    <mergeCell ref="AN3:AX3"/>
    <mergeCell ref="CS6:DB6"/>
    <mergeCell ref="EB2:EH2"/>
    <mergeCell ref="EB3:EH6"/>
    <mergeCell ref="DC4:DE4"/>
    <mergeCell ref="DF4:DH4"/>
    <mergeCell ref="DC5:DE5"/>
    <mergeCell ref="CS4:DB4"/>
    <mergeCell ref="CK4:CP4"/>
    <mergeCell ref="BF6:BG6"/>
    <mergeCell ref="CK5:CP5"/>
    <mergeCell ref="CS8:DB8"/>
    <mergeCell ref="A83:A92"/>
    <mergeCell ref="A50:A59"/>
    <mergeCell ref="A61:A70"/>
    <mergeCell ref="A72:A81"/>
    <mergeCell ref="BF12:BO12"/>
    <mergeCell ref="BP12:BY12"/>
    <mergeCell ref="A39:A48"/>
    <mergeCell ref="L12:P13"/>
    <mergeCell ref="AL12:AU12"/>
    <mergeCell ref="A15:A37"/>
    <mergeCell ref="IK10:IK13"/>
    <mergeCell ref="EH10:FA10"/>
    <mergeCell ref="II10:II13"/>
    <mergeCell ref="DN10:EG10"/>
    <mergeCell ref="DN11:EG11"/>
    <mergeCell ref="DN12:DW12"/>
    <mergeCell ref="FB10:FU10"/>
    <mergeCell ref="FB11:FU11"/>
    <mergeCell ref="IG10:IG13"/>
    <mergeCell ref="FB12:FK12"/>
    <mergeCell ref="IJ10:IJ13"/>
    <mergeCell ref="ER12:FA12"/>
    <mergeCell ref="GF12:GO12"/>
    <mergeCell ref="EH11:FA11"/>
    <mergeCell ref="EH12:EQ12"/>
    <mergeCell ref="GP10:HI10"/>
    <mergeCell ref="GZ12:HI12"/>
    <mergeCell ref="FV10:GO10"/>
    <mergeCell ref="GP11:HI11"/>
    <mergeCell ref="FV11:GO11"/>
    <mergeCell ref="FV12:GE12"/>
    <mergeCell ref="HJ11:IC11"/>
    <mergeCell ref="HJ12:HS12"/>
    <mergeCell ref="HT12:IC12"/>
    <mergeCell ref="T4:AC4"/>
    <mergeCell ref="AY4:BE4"/>
    <mergeCell ref="AL5:AM5"/>
    <mergeCell ref="R10:AK10"/>
    <mergeCell ref="R11:AK11"/>
    <mergeCell ref="R12:AA12"/>
    <mergeCell ref="AB12:AK12"/>
    <mergeCell ref="AL10:BE10"/>
    <mergeCell ref="AL11:BE11"/>
    <mergeCell ref="AV12:BE12"/>
    <mergeCell ref="J3:L3"/>
    <mergeCell ref="M2:P2"/>
    <mergeCell ref="M3:P3"/>
    <mergeCell ref="BH5:BR5"/>
    <mergeCell ref="B5:D5"/>
    <mergeCell ref="F12:K13"/>
    <mergeCell ref="AY2:BE2"/>
    <mergeCell ref="AY3:BE3"/>
    <mergeCell ref="AY6:BE6"/>
    <mergeCell ref="AL6:AM6"/>
    <mergeCell ref="E2:I2"/>
    <mergeCell ref="E3:I3"/>
    <mergeCell ref="B4:D4"/>
    <mergeCell ref="R2:AC2"/>
    <mergeCell ref="E4:I4"/>
    <mergeCell ref="B2:D2"/>
    <mergeCell ref="B3:D3"/>
    <mergeCell ref="J2:L2"/>
    <mergeCell ref="R5:S5"/>
    <mergeCell ref="T5:AC5"/>
    <mergeCell ref="R3:S3"/>
    <mergeCell ref="T3:AC3"/>
    <mergeCell ref="BF10:BY10"/>
    <mergeCell ref="R4:S4"/>
  </mergeCells>
  <phoneticPr fontId="2"/>
  <dataValidations xWindow="759" yWindow="481" count="17">
    <dataValidation type="list" allowBlank="1" showInputMessage="1" showErrorMessage="1" promptTitle="作業実績の設定" prompt="実際に作業を開始したときの日にちを選択してください。" sqref="L15:L92" xr:uid="{00000000-0002-0000-0000-000001000000}">
      <formula1>演習開催日</formula1>
    </dataValidation>
    <dataValidation type="list" allowBlank="1" showInputMessage="1" showErrorMessage="1" promptTitle="作業開始予定日時の設定" prompt="作業を開始する予定の日にちを選択してください。" sqref="F15:F92" xr:uid="{00000000-0002-0000-0000-000002000000}">
      <formula1>演習開催日</formula1>
    </dataValidation>
    <dataValidation allowBlank="1" showInputMessage="1" showErrorMessage="1" promptTitle="作業実績の設定" prompt="実際に作業を行った時間を分単位で入力してください。_x000a_" sqref="O15:O92" xr:uid="{00000000-0002-0000-0000-000004000000}"/>
    <dataValidation type="list" allowBlank="1" showInputMessage="1" showErrorMessage="1" promptTitle="作業実績の設定" prompt="作業開始日の何限目から開始したかを選択してください。" sqref="G93 M93" xr:uid="{00000000-0002-0000-0000-000005000000}">
      <formula1>"4,5"</formula1>
    </dataValidation>
    <dataValidation allowBlank="1" showInputMessage="1" showErrorMessage="1" promptTitle="作業実績の設定" prompt="現在の作業の進捗率を入力してください。" sqref="P15:P92" xr:uid="{00000000-0002-0000-0000-000006000000}"/>
    <dataValidation allowBlank="1" showInputMessage="1" showErrorMessage="1" prompt="開発メンバーの名前を入力してください。" sqref="T3:T5 BH3:BH6 AN3:AN6" xr:uid="{00000000-0002-0000-0000-000007000000}"/>
    <dataValidation allowBlank="1" showInputMessage="1" showErrorMessage="1" promptTitle="作業項目" prompt="作業項目を入力してください。" sqref="D15 D18:D39 D41:D92" xr:uid="{00000000-0002-0000-0000-000008000000}"/>
    <dataValidation type="list" allowBlank="1" showInputMessage="1" showErrorMessage="1" promptTitle="担当者の設定" prompt="作業項目に対して、それを実施するメンバー名を選択してください。" sqref="E15:E37" xr:uid="{00000000-0002-0000-0000-00000A000000}">
      <formula1>$T$3:$T$5</formula1>
    </dataValidation>
    <dataValidation type="list" allowBlank="1" showInputMessage="1" showErrorMessage="1" promptTitle="担当者の設定" prompt="作業項目に対して、それを実施するメンバー名を選択してください。" sqref="E38" xr:uid="{00000000-0002-0000-0000-00000B000000}">
      <formula1>$AN$3:$AN$8</formula1>
    </dataValidation>
    <dataValidation type="list" allowBlank="1" showInputMessage="1" showErrorMessage="1" promptTitle="先行タスクの設定" prompt="この作業を開始するまでに事前に完了していなければならない作業があればそれを指定します。" sqref="J15:J92" xr:uid="{00000000-0002-0000-0000-00000C000000}">
      <formula1>$B$15:$B$92</formula1>
    </dataValidation>
    <dataValidation allowBlank="1" showInputMessage="1" showErrorMessage="1" promptTitle="完了日時" prompt="10分単位で完了予定日時が表示されます" sqref="K15:K92" xr:uid="{00000000-0002-0000-0000-00000D000000}"/>
    <dataValidation type="list" allowBlank="1" showInputMessage="1" showErrorMessage="1" promptTitle="担当者の設定" prompt="作業項目に対して、それを実施するメンバー名を選択してください。" sqref="E39:E92" xr:uid="{00000000-0002-0000-0000-00000E000000}">
      <formula1>$IM$13:$IM$20</formula1>
    </dataValidation>
    <dataValidation type="list" allowBlank="1" showInputMessage="1" showErrorMessage="1" promptTitle="作業実績の設定" prompt="作業開始日の何限目から開始したかを選択してください。" sqref="G82 G34:G38 G49 G60 G71 M38 M49 M51:M60 M71 M82" xr:uid="{00000000-0002-0000-0000-00000F000000}">
      <formula1>"3,4"</formula1>
    </dataValidation>
    <dataValidation type="list" allowBlank="1" showInputMessage="1" showErrorMessage="1" promptTitle="作業実績の設定" prompt="作業開始日の何限目から開始したかを選択してください。" sqref="G15:G33 G39:G48 G50:G59 G61:G70 G72:G81 G83:G92 M15:M37 M39:M48 M50 M72:M81 M83:M92 M61:M70" xr:uid="{00000000-0002-0000-0000-000010000000}">
      <formula1>"1,2"</formula1>
    </dataValidation>
    <dataValidation type="list" allowBlank="1" showInputMessage="1" showErrorMessage="1" promptTitle="作業開始予定日時の設定" prompt="開始日の各限の何分から作業を開始する予定を選択してください。" sqref="H15:H33 H35:H92" xr:uid="{00000000-0002-0000-0000-000009000000}">
      <formula1>"0,10,20,30,40,,50,60,70,80,90,100"</formula1>
    </dataValidation>
    <dataValidation allowBlank="1" showInputMessage="1" showErrorMessage="1" promptTitle="作業開始予定日時の設定" prompt="この作業を行う予定時間を分単位で入力してください。" sqref="I15:I33 I35:I92 G34" xr:uid="{00000000-0002-0000-0000-000003000000}"/>
    <dataValidation type="list" allowBlank="1" showInputMessage="1" showErrorMessage="1" promptTitle="作業実績の設定" prompt="開始日の各限の何分から作業を開始したかを選択してください。" sqref="N15:N45 N47:N92 M46" xr:uid="{00000000-0002-0000-0000-000000000000}">
      <formula1>"0,10,20,30,40,,50,60,70,80,90"</formula1>
    </dataValidation>
  </dataValidations>
  <pageMargins left="0.18" right="0.22" top="0.49" bottom="0.42" header="0.44" footer="0.51200000000000001"/>
  <pageSetup paperSize="9" scale="37" orientation="landscape" r:id="rId1"/>
  <headerFooter alignWithMargins="0"/>
  <drawing r:id="rId2"/>
  <legacyDrawing r:id="rId3"/>
  <controls>
    <mc:AlternateContent xmlns:mc="http://schemas.openxmlformats.org/markup-compatibility/2006">
      <mc:Choice Requires="x14">
        <control shapeId="17886" r:id="rId4" name="CheckBox2">
          <controlPr defaultSize="0" autoLine="0" r:id="rId5">
            <anchor moveWithCells="1">
              <from>
                <xdr:col>3</xdr:col>
                <xdr:colOff>323850</xdr:colOff>
                <xdr:row>10</xdr:row>
                <xdr:rowOff>28575</xdr:rowOff>
              </from>
              <to>
                <xdr:col>4</xdr:col>
                <xdr:colOff>57150</xdr:colOff>
                <xdr:row>11</xdr:row>
                <xdr:rowOff>47625</xdr:rowOff>
              </to>
            </anchor>
          </controlPr>
        </control>
      </mc:Choice>
      <mc:Fallback>
        <control shapeId="17886" r:id="rId4" name="CheckBox2"/>
      </mc:Fallback>
    </mc:AlternateContent>
    <mc:AlternateContent xmlns:mc="http://schemas.openxmlformats.org/markup-compatibility/2006">
      <mc:Choice Requires="x14">
        <control shapeId="17885" r:id="rId6" name="CheckBox1">
          <controlPr defaultSize="0" autoLine="0" r:id="rId7">
            <anchor moveWithCells="1">
              <from>
                <xdr:col>0</xdr:col>
                <xdr:colOff>76200</xdr:colOff>
                <xdr:row>10</xdr:row>
                <xdr:rowOff>19050</xdr:rowOff>
              </from>
              <to>
                <xdr:col>3</xdr:col>
                <xdr:colOff>342900</xdr:colOff>
                <xdr:row>11</xdr:row>
                <xdr:rowOff>38100</xdr:rowOff>
              </to>
            </anchor>
          </controlPr>
        </control>
      </mc:Choice>
      <mc:Fallback>
        <control shapeId="17885" r:id="rId6" name="CheckBox1"/>
      </mc:Fallback>
    </mc:AlternateContent>
    <mc:AlternateContent xmlns:mc="http://schemas.openxmlformats.org/markup-compatibility/2006">
      <mc:Choice Requires="x14">
        <control shapeId="16411" r:id="rId8" name="ChkBarTitle">
          <controlPr defaultSize="0" autoFill="0" autoLine="0" autoPict="0" r:id="rId9">
            <anchor moveWithCells="1">
              <from>
                <xdr:col>77</xdr:col>
                <xdr:colOff>76200</xdr:colOff>
                <xdr:row>6</xdr:row>
                <xdr:rowOff>76200</xdr:rowOff>
              </from>
              <to>
                <xdr:col>93</xdr:col>
                <xdr:colOff>38100</xdr:colOff>
                <xdr:row>8</xdr:row>
                <xdr:rowOff>47625</xdr:rowOff>
              </to>
            </anchor>
          </controlPr>
        </control>
      </mc:Choice>
      <mc:Fallback>
        <control shapeId="16411" r:id="rId8" name="ChkBarTitle"/>
      </mc:Fallback>
    </mc:AlternateContent>
    <mc:AlternateContent xmlns:mc="http://schemas.openxmlformats.org/markup-compatibility/2006">
      <mc:Choice Requires="x14">
        <control shapeId="16078" r:id="rId10" name="btnAddRows">
          <controlPr defaultSize="0" autoLine="0" r:id="rId11">
            <anchor>
              <from>
                <xdr:col>3</xdr:col>
                <xdr:colOff>295275</xdr:colOff>
                <xdr:row>5</xdr:row>
                <xdr:rowOff>19050</xdr:rowOff>
              </from>
              <to>
                <xdr:col>4</xdr:col>
                <xdr:colOff>9525</xdr:colOff>
                <xdr:row>6</xdr:row>
                <xdr:rowOff>114300</xdr:rowOff>
              </to>
            </anchor>
          </controlPr>
        </control>
      </mc:Choice>
      <mc:Fallback>
        <control shapeId="16078" r:id="rId10" name="btnAddRows"/>
      </mc:Fallback>
    </mc:AlternateContent>
    <mc:AlternateContent xmlns:mc="http://schemas.openxmlformats.org/markup-compatibility/2006">
      <mc:Choice Requires="x14">
        <control shapeId="8895" r:id="rId12" name="btnReSchedule">
          <controlPr defaultSize="0" autoLine="0" r:id="rId13">
            <anchor>
              <from>
                <xdr:col>0</xdr:col>
                <xdr:colOff>57150</xdr:colOff>
                <xdr:row>3</xdr:row>
                <xdr:rowOff>57150</xdr:rowOff>
              </from>
              <to>
                <xdr:col>4</xdr:col>
                <xdr:colOff>9525</xdr:colOff>
                <xdr:row>5</xdr:row>
                <xdr:rowOff>19050</xdr:rowOff>
              </to>
            </anchor>
          </controlPr>
        </control>
      </mc:Choice>
      <mc:Fallback>
        <control shapeId="8895" r:id="rId12" name="btnReSchedule"/>
      </mc:Fallback>
    </mc:AlternateContent>
    <mc:AlternateContent xmlns:mc="http://schemas.openxmlformats.org/markup-compatibility/2006">
      <mc:Choice Requires="x14">
        <control shapeId="6536" r:id="rId14" name="ChkInazumaLine">
          <controlPr defaultSize="0" autoFill="0" autoLine="0" autoPict="0" r:id="rId15">
            <anchor moveWithCells="1">
              <from>
                <xdr:col>77</xdr:col>
                <xdr:colOff>76200</xdr:colOff>
                <xdr:row>5</xdr:row>
                <xdr:rowOff>19050</xdr:rowOff>
              </from>
              <to>
                <xdr:col>93</xdr:col>
                <xdr:colOff>38100</xdr:colOff>
                <xdr:row>6</xdr:row>
                <xdr:rowOff>114300</xdr:rowOff>
              </to>
            </anchor>
          </controlPr>
        </control>
      </mc:Choice>
      <mc:Fallback>
        <control shapeId="6536" r:id="rId14" name="ChkInazumaLine"/>
      </mc:Fallback>
    </mc:AlternateContent>
    <mc:AlternateContent xmlns:mc="http://schemas.openxmlformats.org/markup-compatibility/2006">
      <mc:Choice Requires="x14">
        <control shapeId="3035" r:id="rId16" name="btnSetSchedule">
          <controlPr defaultSize="0" autoLine="0" r:id="rId17">
            <anchor moveWithCells="1">
              <from>
                <xdr:col>0</xdr:col>
                <xdr:colOff>57150</xdr:colOff>
                <xdr:row>6</xdr:row>
                <xdr:rowOff>104775</xdr:rowOff>
              </from>
              <to>
                <xdr:col>4</xdr:col>
                <xdr:colOff>9525</xdr:colOff>
                <xdr:row>10</xdr:row>
                <xdr:rowOff>0</xdr:rowOff>
              </to>
            </anchor>
          </controlPr>
        </control>
      </mc:Choice>
      <mc:Fallback>
        <control shapeId="3035" r:id="rId16" name="btnSetSchedule"/>
      </mc:Fallback>
    </mc:AlternateContent>
    <mc:AlternateContent xmlns:mc="http://schemas.openxmlformats.org/markup-compatibility/2006">
      <mc:Choice Requires="x14">
        <control shapeId="1026" r:id="rId18" name="btnRefresh">
          <controlPr defaultSize="0" autoLine="0" r:id="rId19">
            <anchor>
              <from>
                <xdr:col>0</xdr:col>
                <xdr:colOff>57150</xdr:colOff>
                <xdr:row>5</xdr:row>
                <xdr:rowOff>19050</xdr:rowOff>
              </from>
              <to>
                <xdr:col>3</xdr:col>
                <xdr:colOff>295275</xdr:colOff>
                <xdr:row>6</xdr:row>
                <xdr:rowOff>114300</xdr:rowOff>
              </to>
            </anchor>
          </controlPr>
        </control>
      </mc:Choice>
      <mc:Fallback>
        <control shapeId="1026" r:id="rId18"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9"/>
  <sheetViews>
    <sheetView topLeftCell="A4" zoomScale="115" zoomScaleNormal="115" workbookViewId="0">
      <selection activeCell="G25" sqref="G25"/>
    </sheetView>
  </sheetViews>
  <sheetFormatPr defaultRowHeight="13.5" x14ac:dyDescent="0.15"/>
  <cols>
    <col min="1" max="1" width="5" customWidth="1"/>
    <col min="2" max="2" width="11.375" customWidth="1"/>
    <col min="3" max="3" width="5" customWidth="1"/>
    <col min="4" max="12" width="4.375" customWidth="1"/>
    <col min="13" max="13" width="4.125" customWidth="1"/>
    <col min="14" max="21" width="4" customWidth="1"/>
    <col min="22" max="22" width="5.125" bestFit="1" customWidth="1"/>
    <col min="24" max="24" width="10.875" customWidth="1"/>
  </cols>
  <sheetData>
    <row r="1" spans="1:25" x14ac:dyDescent="0.15">
      <c r="C1" s="273">
        <v>1</v>
      </c>
      <c r="D1" s="273"/>
      <c r="E1" s="273"/>
      <c r="F1" s="273"/>
      <c r="G1" s="273"/>
      <c r="H1" s="273"/>
      <c r="I1" s="273"/>
      <c r="J1" s="273"/>
      <c r="K1" s="273"/>
      <c r="L1" s="273"/>
      <c r="M1" s="273">
        <v>2</v>
      </c>
      <c r="N1" s="273"/>
      <c r="O1" s="273"/>
      <c r="P1" s="273"/>
      <c r="Q1" s="273"/>
      <c r="R1" s="273"/>
      <c r="S1" s="273"/>
      <c r="T1" s="273"/>
      <c r="U1" s="273"/>
      <c r="V1" s="273"/>
    </row>
    <row r="2" spans="1:25" x14ac:dyDescent="0.15">
      <c r="C2" s="39">
        <v>10</v>
      </c>
      <c r="D2" s="39">
        <f t="shared" ref="D2:K2" si="0">C2+10</f>
        <v>20</v>
      </c>
      <c r="E2" s="39">
        <f t="shared" si="0"/>
        <v>30</v>
      </c>
      <c r="F2" s="39">
        <f t="shared" si="0"/>
        <v>40</v>
      </c>
      <c r="G2" s="39">
        <f t="shared" si="0"/>
        <v>50</v>
      </c>
      <c r="H2" s="39">
        <f t="shared" si="0"/>
        <v>60</v>
      </c>
      <c r="I2" s="39">
        <f t="shared" si="0"/>
        <v>70</v>
      </c>
      <c r="J2" s="39">
        <f t="shared" si="0"/>
        <v>80</v>
      </c>
      <c r="K2" s="39">
        <f t="shared" si="0"/>
        <v>90</v>
      </c>
      <c r="L2" s="39">
        <f>K2+10</f>
        <v>100</v>
      </c>
      <c r="M2" s="39">
        <v>10</v>
      </c>
      <c r="N2" s="39">
        <f t="shared" ref="N2:T2" si="1">M2+10</f>
        <v>20</v>
      </c>
      <c r="O2" s="39">
        <f t="shared" si="1"/>
        <v>30</v>
      </c>
      <c r="P2" s="39">
        <f t="shared" si="1"/>
        <v>40</v>
      </c>
      <c r="Q2" s="39">
        <f t="shared" si="1"/>
        <v>50</v>
      </c>
      <c r="R2" s="39">
        <f t="shared" si="1"/>
        <v>60</v>
      </c>
      <c r="S2" s="39">
        <f t="shared" si="1"/>
        <v>70</v>
      </c>
      <c r="T2" s="39">
        <f t="shared" si="1"/>
        <v>80</v>
      </c>
      <c r="U2" s="39">
        <f t="shared" ref="U2" si="2">T2+10</f>
        <v>90</v>
      </c>
      <c r="V2" s="39">
        <f t="shared" ref="V2" si="3">U2+10</f>
        <v>100</v>
      </c>
      <c r="X2" s="42" t="s">
        <v>101</v>
      </c>
      <c r="Y2" s="41">
        <v>10</v>
      </c>
    </row>
    <row r="3" spans="1:25" x14ac:dyDescent="0.15">
      <c r="B3" t="s">
        <v>34</v>
      </c>
      <c r="C3" s="40">
        <f t="shared" ref="C3:L3" si="4">$Y$4+TIME(0,C2,0)</f>
        <v>0.38194444444444442</v>
      </c>
      <c r="D3" s="40">
        <f t="shared" si="4"/>
        <v>0.3888888888888889</v>
      </c>
      <c r="E3" s="40">
        <f t="shared" si="4"/>
        <v>0.39583333333333331</v>
      </c>
      <c r="F3" s="40">
        <f t="shared" si="4"/>
        <v>0.40277777777777779</v>
      </c>
      <c r="G3" s="40">
        <f t="shared" si="4"/>
        <v>0.40972222222222221</v>
      </c>
      <c r="H3" s="40">
        <f t="shared" si="4"/>
        <v>0.41666666666666669</v>
      </c>
      <c r="I3" s="40">
        <f t="shared" si="4"/>
        <v>0.4236111111111111</v>
      </c>
      <c r="J3" s="40">
        <f t="shared" si="4"/>
        <v>0.43055555555555558</v>
      </c>
      <c r="K3" s="40">
        <f t="shared" ref="K3" si="5">$Y$4+TIME(0,K2,0)</f>
        <v>0.4375</v>
      </c>
      <c r="L3" s="40">
        <f t="shared" si="4"/>
        <v>0.44444444444444442</v>
      </c>
      <c r="M3" s="40">
        <f t="shared" ref="M3:T3" si="6">$Y$5+TIME(0,M2,0)</f>
        <v>0.46527777777777773</v>
      </c>
      <c r="N3" s="40">
        <f t="shared" si="6"/>
        <v>0.47222222222222221</v>
      </c>
      <c r="O3" s="40">
        <f t="shared" si="6"/>
        <v>0.47916666666666663</v>
      </c>
      <c r="P3" s="40">
        <f t="shared" si="6"/>
        <v>0.4861111111111111</v>
      </c>
      <c r="Q3" s="40">
        <f t="shared" si="6"/>
        <v>0.49305555555555552</v>
      </c>
      <c r="R3" s="40">
        <f t="shared" si="6"/>
        <v>0.5</v>
      </c>
      <c r="S3" s="40">
        <f t="shared" si="6"/>
        <v>0.50694444444444442</v>
      </c>
      <c r="T3" s="40">
        <f t="shared" si="6"/>
        <v>0.51388888888888884</v>
      </c>
      <c r="U3" s="40">
        <f t="shared" ref="U3:V3" si="7">$Y$5+TIME(0,U2,0)</f>
        <v>0.52083333333333326</v>
      </c>
      <c r="V3" s="40">
        <f t="shared" si="7"/>
        <v>0.52777777777777779</v>
      </c>
    </row>
    <row r="4" spans="1:25" x14ac:dyDescent="0.15">
      <c r="A4" s="1">
        <v>1</v>
      </c>
      <c r="B4" s="2">
        <v>44837</v>
      </c>
      <c r="C4" s="1"/>
      <c r="D4" s="1"/>
      <c r="E4" s="1"/>
      <c r="F4" s="1"/>
      <c r="G4" s="1">
        <v>1</v>
      </c>
      <c r="H4" s="1">
        <v>1</v>
      </c>
      <c r="I4" s="1">
        <v>1</v>
      </c>
      <c r="J4" s="1">
        <v>1</v>
      </c>
      <c r="K4" s="1">
        <v>1</v>
      </c>
      <c r="L4" s="21">
        <v>1</v>
      </c>
      <c r="M4" s="38">
        <v>1</v>
      </c>
      <c r="N4" s="1">
        <v>1</v>
      </c>
      <c r="O4" s="1">
        <v>1</v>
      </c>
      <c r="P4" s="1">
        <v>1</v>
      </c>
      <c r="Q4" s="1">
        <v>1</v>
      </c>
      <c r="R4" s="1"/>
      <c r="S4" s="1"/>
      <c r="T4" s="1">
        <v>1</v>
      </c>
      <c r="U4" s="1">
        <v>1</v>
      </c>
      <c r="V4" s="1">
        <v>1</v>
      </c>
      <c r="X4" s="43">
        <v>1</v>
      </c>
      <c r="Y4" s="31">
        <v>0.375</v>
      </c>
    </row>
    <row r="5" spans="1:25" x14ac:dyDescent="0.15">
      <c r="A5" s="1">
        <v>2</v>
      </c>
      <c r="B5" s="2">
        <v>44851</v>
      </c>
      <c r="C5" s="1"/>
      <c r="D5" s="1"/>
      <c r="E5" s="1"/>
      <c r="F5" s="1"/>
      <c r="G5" s="1"/>
      <c r="H5" s="1"/>
      <c r="I5" s="1"/>
      <c r="J5" s="1"/>
      <c r="K5" s="1"/>
      <c r="L5" s="21"/>
      <c r="M5" s="38">
        <v>1</v>
      </c>
      <c r="N5" s="1">
        <v>1</v>
      </c>
      <c r="O5" s="1">
        <v>1</v>
      </c>
      <c r="P5" s="1">
        <v>1</v>
      </c>
      <c r="Q5" s="1">
        <v>1</v>
      </c>
      <c r="R5" s="1">
        <v>1</v>
      </c>
      <c r="S5" s="1">
        <v>1</v>
      </c>
      <c r="T5" s="1">
        <v>1</v>
      </c>
      <c r="U5" s="1">
        <v>1</v>
      </c>
      <c r="V5" s="1">
        <v>1</v>
      </c>
      <c r="X5" s="43">
        <v>2</v>
      </c>
      <c r="Y5" s="31">
        <v>0.45833333333333331</v>
      </c>
    </row>
    <row r="6" spans="1:25" x14ac:dyDescent="0.15">
      <c r="A6" s="1">
        <v>3</v>
      </c>
      <c r="B6" s="2">
        <v>44858</v>
      </c>
      <c r="C6" s="1"/>
      <c r="D6" s="1"/>
      <c r="E6" s="1"/>
      <c r="F6" s="1"/>
      <c r="G6" s="1"/>
      <c r="H6" s="1">
        <v>1</v>
      </c>
      <c r="I6" s="1">
        <v>1</v>
      </c>
      <c r="J6" s="1">
        <v>1</v>
      </c>
      <c r="K6" s="1">
        <v>1</v>
      </c>
      <c r="L6" s="21">
        <v>1</v>
      </c>
      <c r="M6" s="38">
        <v>1</v>
      </c>
      <c r="N6" s="1">
        <v>1</v>
      </c>
      <c r="O6" s="1">
        <v>1</v>
      </c>
      <c r="P6" s="1">
        <v>1</v>
      </c>
      <c r="Q6" s="1">
        <v>1</v>
      </c>
      <c r="R6" s="1">
        <v>1</v>
      </c>
      <c r="S6" s="1">
        <v>1</v>
      </c>
      <c r="T6" s="1">
        <v>1</v>
      </c>
      <c r="U6" s="1">
        <v>1</v>
      </c>
      <c r="V6" s="1">
        <v>1</v>
      </c>
    </row>
    <row r="7" spans="1:25" x14ac:dyDescent="0.15">
      <c r="A7" s="1">
        <v>4</v>
      </c>
      <c r="B7" s="2">
        <v>44865</v>
      </c>
      <c r="C7" s="1"/>
      <c r="D7" s="1"/>
      <c r="E7" s="1"/>
      <c r="F7" s="1">
        <v>1</v>
      </c>
      <c r="G7" s="1">
        <v>1</v>
      </c>
      <c r="H7" s="1">
        <v>1</v>
      </c>
      <c r="I7" s="1">
        <v>1</v>
      </c>
      <c r="J7" s="1">
        <v>1</v>
      </c>
      <c r="K7" s="1">
        <v>1</v>
      </c>
      <c r="L7" s="21">
        <v>1</v>
      </c>
      <c r="M7" s="38">
        <v>1</v>
      </c>
      <c r="N7" s="1">
        <v>1</v>
      </c>
      <c r="O7" s="1">
        <v>1</v>
      </c>
      <c r="P7" s="1">
        <v>1</v>
      </c>
      <c r="Q7" s="1">
        <v>1</v>
      </c>
      <c r="R7" s="1">
        <v>1</v>
      </c>
      <c r="S7" s="1">
        <v>1</v>
      </c>
      <c r="T7" s="1">
        <v>1</v>
      </c>
      <c r="U7" s="1">
        <v>1</v>
      </c>
      <c r="V7" s="1">
        <v>1</v>
      </c>
    </row>
    <row r="8" spans="1:25" x14ac:dyDescent="0.15">
      <c r="A8" s="1">
        <v>5</v>
      </c>
      <c r="B8" s="2">
        <v>44872</v>
      </c>
      <c r="C8" s="1"/>
      <c r="D8" s="1">
        <v>1</v>
      </c>
      <c r="E8" s="1">
        <v>1</v>
      </c>
      <c r="F8" s="1">
        <v>1</v>
      </c>
      <c r="G8" s="1">
        <v>1</v>
      </c>
      <c r="H8" s="1">
        <v>1</v>
      </c>
      <c r="I8" s="1">
        <v>1</v>
      </c>
      <c r="J8" s="1">
        <v>1</v>
      </c>
      <c r="K8" s="1">
        <v>1</v>
      </c>
      <c r="L8" s="21">
        <v>1</v>
      </c>
      <c r="M8" s="38">
        <v>1</v>
      </c>
      <c r="N8" s="1">
        <v>1</v>
      </c>
      <c r="O8" s="1">
        <v>1</v>
      </c>
      <c r="P8" s="1">
        <v>1</v>
      </c>
      <c r="Q8" s="1">
        <v>1</v>
      </c>
      <c r="R8" s="1">
        <v>1</v>
      </c>
      <c r="S8" s="1">
        <v>1</v>
      </c>
      <c r="T8" s="1">
        <v>1</v>
      </c>
      <c r="U8" s="1">
        <v>1</v>
      </c>
      <c r="V8" s="1">
        <v>1</v>
      </c>
    </row>
    <row r="9" spans="1:25" x14ac:dyDescent="0.15">
      <c r="A9" s="1">
        <v>6</v>
      </c>
      <c r="B9" s="2">
        <v>44879</v>
      </c>
      <c r="C9" s="1"/>
      <c r="D9" s="1"/>
      <c r="E9" s="1"/>
      <c r="F9" s="1">
        <v>1</v>
      </c>
      <c r="G9" s="1">
        <v>1</v>
      </c>
      <c r="H9" s="1">
        <v>1</v>
      </c>
      <c r="I9" s="1">
        <v>1</v>
      </c>
      <c r="J9" s="1">
        <v>1</v>
      </c>
      <c r="K9" s="1">
        <v>1</v>
      </c>
      <c r="L9" s="21">
        <v>1</v>
      </c>
      <c r="M9" s="38">
        <v>1</v>
      </c>
      <c r="N9" s="1">
        <v>1</v>
      </c>
      <c r="O9" s="1">
        <v>1</v>
      </c>
      <c r="P9" s="1">
        <v>1</v>
      </c>
      <c r="Q9" s="1">
        <v>1</v>
      </c>
      <c r="R9" s="1"/>
      <c r="S9" s="1"/>
      <c r="T9" s="1">
        <v>1</v>
      </c>
      <c r="U9" s="1">
        <v>1</v>
      </c>
      <c r="V9" s="1">
        <v>1</v>
      </c>
    </row>
    <row r="10" spans="1:25" x14ac:dyDescent="0.15">
      <c r="A10" s="1">
        <v>7</v>
      </c>
      <c r="B10" s="2">
        <v>44886</v>
      </c>
      <c r="C10" s="1"/>
      <c r="D10" s="1"/>
      <c r="E10" s="1"/>
      <c r="F10" s="1">
        <v>1</v>
      </c>
      <c r="G10" s="1">
        <v>1</v>
      </c>
      <c r="H10" s="1">
        <v>1</v>
      </c>
      <c r="I10" s="1">
        <v>1</v>
      </c>
      <c r="J10" s="1">
        <v>1</v>
      </c>
      <c r="K10" s="1">
        <v>1</v>
      </c>
      <c r="L10" s="21">
        <v>1</v>
      </c>
      <c r="M10" s="38">
        <v>1</v>
      </c>
      <c r="N10" s="1">
        <v>1</v>
      </c>
      <c r="O10" s="1">
        <v>1</v>
      </c>
      <c r="P10" s="1">
        <v>1</v>
      </c>
      <c r="Q10" s="1">
        <v>1</v>
      </c>
      <c r="R10" s="1">
        <v>1</v>
      </c>
      <c r="S10" s="1">
        <v>1</v>
      </c>
      <c r="T10" s="1">
        <v>1</v>
      </c>
      <c r="U10" s="1">
        <v>1</v>
      </c>
      <c r="V10" s="1">
        <v>1</v>
      </c>
    </row>
    <row r="11" spans="1:25" x14ac:dyDescent="0.15">
      <c r="A11" s="1">
        <v>8</v>
      </c>
      <c r="B11" s="2">
        <v>44893</v>
      </c>
      <c r="C11" s="1"/>
      <c r="D11" s="1">
        <v>1</v>
      </c>
      <c r="E11" s="1">
        <v>1</v>
      </c>
      <c r="F11" s="1">
        <v>1</v>
      </c>
      <c r="G11" s="1">
        <v>1</v>
      </c>
      <c r="H11" s="1">
        <v>1</v>
      </c>
      <c r="I11" s="1">
        <v>1</v>
      </c>
      <c r="J11" s="1">
        <v>1</v>
      </c>
      <c r="K11" s="1">
        <v>1</v>
      </c>
      <c r="L11" s="21">
        <v>1</v>
      </c>
      <c r="M11" s="38">
        <v>1</v>
      </c>
      <c r="N11" s="1">
        <v>1</v>
      </c>
      <c r="O11" s="1">
        <v>1</v>
      </c>
      <c r="P11" s="1">
        <v>1</v>
      </c>
      <c r="Q11" s="1">
        <v>1</v>
      </c>
      <c r="R11" s="1">
        <v>1</v>
      </c>
      <c r="S11" s="1">
        <v>1</v>
      </c>
      <c r="T11" s="1">
        <v>1</v>
      </c>
      <c r="U11" s="1">
        <v>1</v>
      </c>
      <c r="V11" s="1">
        <v>1</v>
      </c>
    </row>
    <row r="12" spans="1:25" x14ac:dyDescent="0.15">
      <c r="A12" s="1">
        <v>9</v>
      </c>
      <c r="B12" s="2">
        <v>44900</v>
      </c>
      <c r="C12" s="1"/>
      <c r="D12" s="1">
        <v>1</v>
      </c>
      <c r="E12" s="1">
        <v>1</v>
      </c>
      <c r="F12" s="1">
        <v>1</v>
      </c>
      <c r="G12" s="1">
        <v>1</v>
      </c>
      <c r="H12" s="1">
        <v>1</v>
      </c>
      <c r="I12" s="1">
        <v>1</v>
      </c>
      <c r="J12" s="1">
        <v>1</v>
      </c>
      <c r="K12" s="1">
        <v>1</v>
      </c>
      <c r="L12" s="21">
        <v>1</v>
      </c>
      <c r="M12" s="38">
        <v>1</v>
      </c>
      <c r="N12" s="1">
        <v>1</v>
      </c>
      <c r="O12" s="1">
        <v>1</v>
      </c>
      <c r="P12" s="1">
        <v>1</v>
      </c>
      <c r="Q12" s="1">
        <v>1</v>
      </c>
      <c r="R12" s="1">
        <v>1</v>
      </c>
      <c r="S12" s="1">
        <v>1</v>
      </c>
      <c r="T12" s="1">
        <v>1</v>
      </c>
      <c r="U12" s="1">
        <v>1</v>
      </c>
      <c r="V12" s="1">
        <v>1</v>
      </c>
    </row>
    <row r="13" spans="1:25" x14ac:dyDescent="0.15">
      <c r="A13" s="1">
        <v>10</v>
      </c>
      <c r="B13" s="2">
        <v>44907</v>
      </c>
      <c r="C13" s="1"/>
      <c r="D13" s="1">
        <v>1</v>
      </c>
      <c r="E13" s="1">
        <v>1</v>
      </c>
      <c r="F13" s="1">
        <v>1</v>
      </c>
      <c r="G13" s="1">
        <v>1</v>
      </c>
      <c r="H13" s="1">
        <v>1</v>
      </c>
      <c r="I13" s="1">
        <v>1</v>
      </c>
      <c r="J13" s="1">
        <v>1</v>
      </c>
      <c r="K13" s="1">
        <v>1</v>
      </c>
      <c r="L13" s="21">
        <v>1</v>
      </c>
      <c r="M13" s="38"/>
      <c r="N13" s="1"/>
      <c r="O13" s="1"/>
      <c r="P13" s="1"/>
      <c r="Q13" s="1"/>
      <c r="R13" s="1"/>
      <c r="S13" s="1"/>
      <c r="T13" s="1"/>
      <c r="U13" s="1"/>
      <c r="V13" s="1"/>
    </row>
    <row r="14" spans="1:25" x14ac:dyDescent="0.15">
      <c r="A14" s="1">
        <v>11</v>
      </c>
      <c r="B14" s="2">
        <v>44914</v>
      </c>
      <c r="C14" s="1"/>
      <c r="D14" s="1"/>
      <c r="E14" s="1"/>
      <c r="F14" s="1"/>
      <c r="G14" s="1"/>
      <c r="H14" s="1"/>
      <c r="I14" s="1"/>
      <c r="J14" s="1"/>
      <c r="K14" s="1"/>
      <c r="L14" s="1"/>
      <c r="M14" s="38"/>
      <c r="N14" s="1"/>
      <c r="O14" s="1"/>
      <c r="P14" s="1"/>
      <c r="Q14" s="1"/>
      <c r="R14" s="1"/>
      <c r="S14" s="1"/>
      <c r="T14" s="1"/>
      <c r="U14" s="1"/>
      <c r="V14" s="1"/>
    </row>
    <row r="16" spans="1:25" x14ac:dyDescent="0.15">
      <c r="A16" s="155" t="s">
        <v>125</v>
      </c>
      <c r="C16" s="274">
        <f>C1</f>
        <v>1</v>
      </c>
      <c r="D16" s="274"/>
      <c r="E16" s="274"/>
      <c r="F16" s="274"/>
      <c r="G16" s="274"/>
      <c r="H16" s="274"/>
      <c r="I16" s="274"/>
      <c r="J16" s="274"/>
      <c r="K16" s="274"/>
      <c r="L16" s="274"/>
      <c r="M16" s="274">
        <f>M1</f>
        <v>2</v>
      </c>
      <c r="N16" s="274"/>
      <c r="O16" s="274"/>
      <c r="P16" s="274"/>
      <c r="Q16" s="274"/>
      <c r="R16" s="274"/>
      <c r="S16" s="274"/>
      <c r="T16" s="274"/>
      <c r="U16" s="274"/>
      <c r="V16" s="274"/>
    </row>
    <row r="17" spans="1:22" x14ac:dyDescent="0.15">
      <c r="C17" s="126">
        <f>C2</f>
        <v>10</v>
      </c>
      <c r="D17" s="126">
        <f t="shared" ref="D17:V17" si="8">D2</f>
        <v>20</v>
      </c>
      <c r="E17" s="126">
        <f t="shared" si="8"/>
        <v>30</v>
      </c>
      <c r="F17" s="126">
        <f t="shared" si="8"/>
        <v>40</v>
      </c>
      <c r="G17" s="126">
        <f t="shared" si="8"/>
        <v>50</v>
      </c>
      <c r="H17" s="126">
        <f t="shared" si="8"/>
        <v>60</v>
      </c>
      <c r="I17" s="126">
        <f t="shared" si="8"/>
        <v>70</v>
      </c>
      <c r="J17" s="126">
        <f t="shared" si="8"/>
        <v>80</v>
      </c>
      <c r="K17" s="126">
        <f t="shared" ref="K17" si="9">K2</f>
        <v>90</v>
      </c>
      <c r="L17" s="126">
        <f t="shared" si="8"/>
        <v>100</v>
      </c>
      <c r="M17" s="126">
        <f t="shared" si="8"/>
        <v>10</v>
      </c>
      <c r="N17" s="126">
        <f t="shared" si="8"/>
        <v>20</v>
      </c>
      <c r="O17" s="126">
        <f t="shared" si="8"/>
        <v>30</v>
      </c>
      <c r="P17" s="126">
        <f t="shared" si="8"/>
        <v>40</v>
      </c>
      <c r="Q17" s="126">
        <f t="shared" si="8"/>
        <v>50</v>
      </c>
      <c r="R17" s="126">
        <f t="shared" si="8"/>
        <v>60</v>
      </c>
      <c r="S17" s="126">
        <f t="shared" si="8"/>
        <v>70</v>
      </c>
      <c r="T17" s="126">
        <f t="shared" si="8"/>
        <v>80</v>
      </c>
      <c r="U17" s="126">
        <f t="shared" ref="U17" si="10">U2</f>
        <v>90</v>
      </c>
      <c r="V17" s="126">
        <f t="shared" si="8"/>
        <v>100</v>
      </c>
    </row>
    <row r="18" spans="1:22" x14ac:dyDescent="0.15">
      <c r="B18" t="str">
        <f t="shared" ref="B18:B29" si="11">B3</f>
        <v>演習開催日</v>
      </c>
      <c r="C18" s="127">
        <f>C3</f>
        <v>0.38194444444444442</v>
      </c>
      <c r="D18" s="127">
        <f t="shared" ref="D18:V18" si="12">D3</f>
        <v>0.3888888888888889</v>
      </c>
      <c r="E18" s="127">
        <f t="shared" si="12"/>
        <v>0.39583333333333331</v>
      </c>
      <c r="F18" s="127">
        <f t="shared" si="12"/>
        <v>0.40277777777777779</v>
      </c>
      <c r="G18" s="127">
        <f t="shared" si="12"/>
        <v>0.40972222222222221</v>
      </c>
      <c r="H18" s="127">
        <f t="shared" si="12"/>
        <v>0.41666666666666669</v>
      </c>
      <c r="I18" s="127">
        <f t="shared" si="12"/>
        <v>0.4236111111111111</v>
      </c>
      <c r="J18" s="127">
        <f t="shared" si="12"/>
        <v>0.43055555555555558</v>
      </c>
      <c r="K18" s="127">
        <f t="shared" ref="K18" si="13">K3</f>
        <v>0.4375</v>
      </c>
      <c r="L18" s="127">
        <f t="shared" si="12"/>
        <v>0.44444444444444442</v>
      </c>
      <c r="M18" s="127">
        <f t="shared" si="12"/>
        <v>0.46527777777777773</v>
      </c>
      <c r="N18" s="127">
        <f t="shared" si="12"/>
        <v>0.47222222222222221</v>
      </c>
      <c r="O18" s="127">
        <f t="shared" si="12"/>
        <v>0.47916666666666663</v>
      </c>
      <c r="P18" s="127">
        <f t="shared" si="12"/>
        <v>0.4861111111111111</v>
      </c>
      <c r="Q18" s="127">
        <f t="shared" si="12"/>
        <v>0.49305555555555552</v>
      </c>
      <c r="R18" s="127">
        <f t="shared" si="12"/>
        <v>0.5</v>
      </c>
      <c r="S18" s="127">
        <f t="shared" si="12"/>
        <v>0.50694444444444442</v>
      </c>
      <c r="T18" s="127">
        <f t="shared" si="12"/>
        <v>0.51388888888888884</v>
      </c>
      <c r="U18" s="127">
        <f t="shared" ref="U18" si="14">U3</f>
        <v>0.52083333333333326</v>
      </c>
      <c r="V18" s="127">
        <f t="shared" si="12"/>
        <v>0.52777777777777779</v>
      </c>
    </row>
    <row r="19" spans="1:22" x14ac:dyDescent="0.15">
      <c r="A19" s="1">
        <v>1</v>
      </c>
      <c r="B19" s="125">
        <f t="shared" si="11"/>
        <v>44837</v>
      </c>
      <c r="C19" s="1" t="s">
        <v>127</v>
      </c>
      <c r="D19" s="1" t="s">
        <v>126</v>
      </c>
      <c r="E19" s="1" t="s">
        <v>126</v>
      </c>
      <c r="F19" s="1" t="s">
        <v>153</v>
      </c>
      <c r="G19" s="1"/>
      <c r="H19" s="1"/>
      <c r="I19" s="1"/>
      <c r="J19" s="1"/>
      <c r="K19" s="1"/>
      <c r="L19" s="174"/>
      <c r="M19" s="38"/>
      <c r="N19" s="1"/>
      <c r="O19" s="1"/>
      <c r="P19" s="1"/>
      <c r="Q19" s="1"/>
      <c r="R19" s="1" t="s">
        <v>153</v>
      </c>
      <c r="S19" s="1" t="s">
        <v>153</v>
      </c>
      <c r="T19" s="1"/>
      <c r="U19" s="1"/>
      <c r="V19" s="1"/>
    </row>
    <row r="20" spans="1:22" x14ac:dyDescent="0.15">
      <c r="A20" s="1">
        <v>2</v>
      </c>
      <c r="B20" s="125">
        <f t="shared" si="11"/>
        <v>44851</v>
      </c>
      <c r="C20" s="1" t="s">
        <v>128</v>
      </c>
      <c r="D20" s="1" t="s">
        <v>126</v>
      </c>
      <c r="E20" s="1" t="s">
        <v>126</v>
      </c>
      <c r="F20" s="1" t="s">
        <v>126</v>
      </c>
      <c r="G20" s="1" t="s">
        <v>126</v>
      </c>
      <c r="H20" s="1" t="s">
        <v>126</v>
      </c>
      <c r="I20" s="1" t="s">
        <v>126</v>
      </c>
      <c r="J20" s="1" t="s">
        <v>126</v>
      </c>
      <c r="K20" s="1" t="s">
        <v>126</v>
      </c>
      <c r="L20" s="174" t="s">
        <v>126</v>
      </c>
      <c r="M20" s="38"/>
      <c r="N20" s="1"/>
      <c r="O20" s="1"/>
      <c r="P20" s="1"/>
      <c r="Q20" s="1"/>
      <c r="R20" s="1"/>
      <c r="S20" s="1"/>
      <c r="T20" s="1"/>
      <c r="U20" s="1"/>
      <c r="V20" s="1"/>
    </row>
    <row r="21" spans="1:22" x14ac:dyDescent="0.15">
      <c r="A21" s="1">
        <v>3</v>
      </c>
      <c r="B21" s="125">
        <f t="shared" si="11"/>
        <v>44858</v>
      </c>
      <c r="C21" s="1" t="s">
        <v>128</v>
      </c>
      <c r="D21" s="1" t="s">
        <v>126</v>
      </c>
      <c r="E21" s="1" t="s">
        <v>126</v>
      </c>
      <c r="F21" s="1" t="s">
        <v>153</v>
      </c>
      <c r="G21" s="1" t="s">
        <v>153</v>
      </c>
      <c r="H21" s="1"/>
      <c r="I21" s="1"/>
      <c r="J21" s="1"/>
      <c r="K21" s="1"/>
      <c r="L21" s="174"/>
      <c r="M21" s="38"/>
      <c r="N21" s="1"/>
      <c r="O21" s="1"/>
      <c r="P21" s="1"/>
      <c r="Q21" s="1"/>
      <c r="R21" s="1"/>
      <c r="S21" s="1"/>
      <c r="T21" s="1"/>
      <c r="U21" s="1"/>
      <c r="V21" s="1"/>
    </row>
    <row r="22" spans="1:22" x14ac:dyDescent="0.15">
      <c r="A22" s="1">
        <v>4</v>
      </c>
      <c r="B22" s="125">
        <f t="shared" si="11"/>
        <v>44865</v>
      </c>
      <c r="C22" s="1" t="s">
        <v>128</v>
      </c>
      <c r="D22" s="1" t="s">
        <v>126</v>
      </c>
      <c r="E22" s="1" t="s">
        <v>153</v>
      </c>
      <c r="F22" s="1"/>
      <c r="G22" s="1"/>
      <c r="H22" s="1"/>
      <c r="I22" s="1"/>
      <c r="J22" s="1"/>
      <c r="K22" s="1"/>
      <c r="L22" s="21"/>
      <c r="M22" s="38"/>
      <c r="N22" s="1"/>
      <c r="O22" s="1"/>
      <c r="P22" s="1"/>
      <c r="Q22" s="1"/>
      <c r="R22" s="1"/>
      <c r="S22" s="1"/>
      <c r="T22" s="1"/>
      <c r="U22" s="1"/>
      <c r="V22" s="1"/>
    </row>
    <row r="23" spans="1:22" x14ac:dyDescent="0.15">
      <c r="A23" s="1">
        <v>5</v>
      </c>
      <c r="B23" s="125">
        <f t="shared" si="11"/>
        <v>44872</v>
      </c>
      <c r="C23" s="1" t="s">
        <v>128</v>
      </c>
      <c r="D23" s="1"/>
      <c r="E23" s="1"/>
      <c r="F23" s="1"/>
      <c r="G23" s="1"/>
      <c r="H23" s="1"/>
      <c r="I23" s="1"/>
      <c r="J23" s="1"/>
      <c r="K23" s="1"/>
      <c r="L23" s="21"/>
      <c r="M23" s="38"/>
      <c r="N23" s="1"/>
      <c r="O23" s="1"/>
      <c r="P23" s="1"/>
      <c r="Q23" s="1"/>
      <c r="R23" s="1"/>
      <c r="S23" s="1"/>
      <c r="T23" s="1"/>
      <c r="U23" s="1"/>
      <c r="V23" s="1"/>
    </row>
    <row r="24" spans="1:22" x14ac:dyDescent="0.15">
      <c r="A24" s="1">
        <v>6</v>
      </c>
      <c r="B24" s="125">
        <f t="shared" si="11"/>
        <v>44879</v>
      </c>
      <c r="C24" s="1" t="s">
        <v>128</v>
      </c>
      <c r="D24" s="1" t="s">
        <v>153</v>
      </c>
      <c r="E24" s="1" t="s">
        <v>153</v>
      </c>
      <c r="F24" s="1"/>
      <c r="G24" s="1"/>
      <c r="H24" s="1"/>
      <c r="I24" s="1"/>
      <c r="J24" s="1"/>
      <c r="K24" s="1"/>
      <c r="L24" s="21"/>
      <c r="M24" s="38"/>
      <c r="N24" s="1"/>
      <c r="O24" s="1"/>
      <c r="P24" s="1"/>
      <c r="Q24" s="1"/>
      <c r="R24" s="1" t="s">
        <v>154</v>
      </c>
      <c r="S24" s="1"/>
      <c r="T24" s="1"/>
      <c r="U24" s="1"/>
      <c r="V24" s="1"/>
    </row>
    <row r="25" spans="1:22" x14ac:dyDescent="0.15">
      <c r="A25" s="1">
        <v>7</v>
      </c>
      <c r="B25" s="125">
        <f t="shared" si="11"/>
        <v>44886</v>
      </c>
      <c r="C25" s="1" t="s">
        <v>128</v>
      </c>
      <c r="D25" s="1" t="s">
        <v>126</v>
      </c>
      <c r="E25" s="1" t="s">
        <v>153</v>
      </c>
      <c r="F25" s="1"/>
      <c r="G25" s="1"/>
      <c r="H25" s="1"/>
      <c r="I25" s="1"/>
      <c r="J25" s="1"/>
      <c r="K25" s="1"/>
      <c r="L25" s="21"/>
      <c r="M25" s="38"/>
      <c r="N25" s="1"/>
      <c r="O25" s="1"/>
      <c r="P25" s="1"/>
      <c r="Q25" s="1"/>
      <c r="R25" s="1"/>
      <c r="S25" s="1"/>
      <c r="T25" s="1"/>
      <c r="U25" s="1"/>
      <c r="V25" s="1"/>
    </row>
    <row r="26" spans="1:22" x14ac:dyDescent="0.15">
      <c r="A26" s="1">
        <v>8</v>
      </c>
      <c r="B26" s="125">
        <f t="shared" si="11"/>
        <v>44893</v>
      </c>
      <c r="C26" s="1" t="s">
        <v>128</v>
      </c>
      <c r="D26" s="1"/>
      <c r="E26" s="1"/>
      <c r="F26" s="1"/>
      <c r="G26" s="1"/>
      <c r="H26" s="1"/>
      <c r="I26" s="1"/>
      <c r="J26" s="1"/>
      <c r="K26" s="1"/>
      <c r="L26" s="21"/>
      <c r="M26" s="38"/>
      <c r="N26" s="1"/>
      <c r="O26" s="1"/>
      <c r="P26" s="1"/>
      <c r="Q26" s="1"/>
      <c r="R26" s="1"/>
      <c r="S26" s="1"/>
      <c r="T26" s="1"/>
      <c r="U26" s="1"/>
      <c r="V26" s="1"/>
    </row>
    <row r="27" spans="1:22" x14ac:dyDescent="0.15">
      <c r="A27" s="1">
        <v>9</v>
      </c>
      <c r="B27" s="125">
        <f t="shared" si="11"/>
        <v>44900</v>
      </c>
      <c r="C27" s="1" t="s">
        <v>128</v>
      </c>
      <c r="D27" s="1"/>
      <c r="E27" s="1"/>
      <c r="F27" s="1"/>
      <c r="G27" s="1"/>
      <c r="H27" s="1"/>
      <c r="I27" s="1"/>
      <c r="J27" s="1"/>
      <c r="K27" s="1"/>
      <c r="L27" s="21"/>
      <c r="M27" s="38"/>
      <c r="N27" s="1"/>
      <c r="O27" s="1"/>
      <c r="P27" s="1"/>
      <c r="Q27" s="1"/>
      <c r="R27" s="1"/>
      <c r="S27" s="1"/>
      <c r="T27" s="1"/>
      <c r="U27" s="1"/>
      <c r="V27" s="1"/>
    </row>
    <row r="28" spans="1:22" x14ac:dyDescent="0.15">
      <c r="A28" s="1">
        <v>10</v>
      </c>
      <c r="B28" s="125">
        <f t="shared" si="11"/>
        <v>44907</v>
      </c>
      <c r="C28" s="1" t="s">
        <v>127</v>
      </c>
      <c r="D28" s="1"/>
      <c r="E28" s="1"/>
      <c r="F28" s="1"/>
      <c r="G28" s="1"/>
      <c r="H28" s="1"/>
      <c r="I28" s="1"/>
      <c r="J28" s="1" t="s">
        <v>156</v>
      </c>
      <c r="K28" s="1"/>
      <c r="L28" s="21"/>
      <c r="M28" s="38" t="s">
        <v>157</v>
      </c>
      <c r="N28" s="1"/>
      <c r="O28" s="1"/>
      <c r="P28" s="1"/>
      <c r="Q28" s="1"/>
      <c r="R28" s="1"/>
      <c r="S28" s="1"/>
      <c r="T28" s="1"/>
      <c r="U28" s="1"/>
      <c r="V28" s="1"/>
    </row>
    <row r="29" spans="1:22" x14ac:dyDescent="0.15">
      <c r="A29" s="1">
        <v>11</v>
      </c>
      <c r="B29" s="125">
        <f t="shared" si="11"/>
        <v>44914</v>
      </c>
      <c r="C29" s="1" t="s">
        <v>128</v>
      </c>
      <c r="D29" s="1"/>
      <c r="E29" s="1"/>
      <c r="F29" s="1"/>
      <c r="G29" s="1"/>
      <c r="H29" s="1"/>
      <c r="I29" s="1"/>
      <c r="J29" s="1"/>
      <c r="K29" s="1"/>
      <c r="L29" s="21"/>
      <c r="M29" s="38"/>
      <c r="N29" s="1"/>
      <c r="O29" s="1"/>
      <c r="P29" s="1"/>
      <c r="Q29" s="1"/>
      <c r="R29" s="1"/>
      <c r="S29" s="1"/>
      <c r="T29" s="1"/>
      <c r="U29" s="1"/>
      <c r="V29" s="1"/>
    </row>
  </sheetData>
  <mergeCells count="4">
    <mergeCell ref="C1:L1"/>
    <mergeCell ref="M1:V1"/>
    <mergeCell ref="C16:L16"/>
    <mergeCell ref="M16:V16"/>
  </mergeCells>
  <phoneticPr fontId="2"/>
  <conditionalFormatting sqref="C4:V14">
    <cfRule type="cellIs" dxfId="1" priority="2" stopIfTrue="1" operator="equal">
      <formula>1</formula>
    </cfRule>
  </conditionalFormatting>
  <conditionalFormatting sqref="C19:V29">
    <cfRule type="cellIs" dxfId="0" priority="1" stopIfTrue="1" operator="notEqual">
      <formula>""</formula>
    </cfRule>
  </conditionalFormatting>
  <pageMargins left="0.78700000000000003" right="0.78700000000000003" top="0.98399999999999999" bottom="0.98399999999999999" header="0.51200000000000001" footer="0.51200000000000001"/>
  <pageSetup paperSize="9" orientation="landscape" horizontalDpi="200" verticalDpi="200" r:id="rId1"/>
  <headerFooter alignWithMargins="0"/>
  <drawing r:id="rId2"/>
  <legacyDrawing r:id="rId3"/>
  <controls>
    <mc:AlternateContent xmlns:mc="http://schemas.openxmlformats.org/markup-compatibility/2006">
      <mc:Choice Requires="x14">
        <control shapeId="14337" r:id="rId4" name="CommandButton1">
          <controlPr defaultSize="0" autoLine="0" autoPict="0" r:id="rId5">
            <anchor moveWithCells="1">
              <from>
                <xdr:col>22</xdr:col>
                <xdr:colOff>295275</xdr:colOff>
                <xdr:row>15</xdr:row>
                <xdr:rowOff>38100</xdr:rowOff>
              </from>
              <to>
                <xdr:col>26</xdr:col>
                <xdr:colOff>0</xdr:colOff>
                <xdr:row>21</xdr:row>
                <xdr:rowOff>0</xdr:rowOff>
              </to>
            </anchor>
          </controlPr>
        </control>
      </mc:Choice>
      <mc:Fallback>
        <control shapeId="143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53</vt:i4>
      </vt:variant>
    </vt:vector>
  </HeadingPairs>
  <TitlesOfParts>
    <vt:vector size="55" baseType="lpstr">
      <vt:lpstr>ｽｹｼﾞｭｰﾙ</vt:lpstr>
      <vt:lpstr>設定</vt:lpstr>
      <vt:lpstr>ATART_INAZUMA</vt:lpstr>
      <vt:lpstr>BAR_COLOR_NAME</vt:lpstr>
      <vt:lpstr>BEFORE_TASK</vt:lpstr>
      <vt:lpstr>COMPLETE_MARK</vt:lpstr>
      <vt:lpstr>DECISION_AREA</vt:lpstr>
      <vt:lpstr>DEVELOPMENT_PERIOD</vt:lpstr>
      <vt:lpstr>DEVELPMENT_TITLE</vt:lpstr>
      <vt:lpstr>EDU_DAY</vt:lpstr>
      <vt:lpstr>EDU_DAY_END</vt:lpstr>
      <vt:lpstr>EDU_HOUR</vt:lpstr>
      <vt:lpstr>EDU_MINUTE</vt:lpstr>
      <vt:lpstr>END_EDU_MINUTE</vt:lpstr>
      <vt:lpstr>ENDROW</vt:lpstr>
      <vt:lpstr>EVENT_INFO</vt:lpstr>
      <vt:lpstr>EVENT_MATRIX_START_ROW</vt:lpstr>
      <vt:lpstr>INTERVAL</vt:lpstr>
      <vt:lpstr>KANRYOU_YOTEI</vt:lpstr>
      <vt:lpstr>KIND</vt:lpstr>
      <vt:lpstr>KOUBAN</vt:lpstr>
      <vt:lpstr>KOUBAN_TYPE</vt:lpstr>
      <vt:lpstr>MATRIX_TIME</vt:lpstr>
      <vt:lpstr>MEMBER</vt:lpstr>
      <vt:lpstr>MEMBER_NO</vt:lpstr>
      <vt:lpstr>MEMBER_TITLE</vt:lpstr>
      <vt:lpstr>PERIOD</vt:lpstr>
      <vt:lpstr>PRACTISE</vt:lpstr>
      <vt:lpstr>ｽｹｼﾞｭｰﾙ!Print_Area</vt:lpstr>
      <vt:lpstr>PROGRESS</vt:lpstr>
      <vt:lpstr>REFRESH_FLG</vt:lpstr>
      <vt:lpstr>RESULT_DAY</vt:lpstr>
      <vt:lpstr>RESULT_GEN</vt:lpstr>
      <vt:lpstr>RESULT_KOUSU</vt:lpstr>
      <vt:lpstr>RESULT_MINUTE</vt:lpstr>
      <vt:lpstr>RESULT_PERIOD</vt:lpstr>
      <vt:lpstr>SCHEDULE_ALT_DAY</vt:lpstr>
      <vt:lpstr>SCHEDULE_AREA</vt:lpstr>
      <vt:lpstr>SEP_A</vt:lpstr>
      <vt:lpstr>SEP_B</vt:lpstr>
      <vt:lpstr>SEP_C</vt:lpstr>
      <vt:lpstr>SEP_D</vt:lpstr>
      <vt:lpstr>SEP_E</vt:lpstr>
      <vt:lpstr>SEP_F</vt:lpstr>
      <vt:lpstr>SERIAL_TIME</vt:lpstr>
      <vt:lpstr>STARTDAY</vt:lpstr>
      <vt:lpstr>STARTGEN</vt:lpstr>
      <vt:lpstr>STARTMINUTE</vt:lpstr>
      <vt:lpstr>TEAME_NAME</vt:lpstr>
      <vt:lpstr>WORK_AREA_END</vt:lpstr>
      <vt:lpstr>WORK_AREA_START</vt:lpstr>
      <vt:lpstr>WORK_TITLE</vt:lpstr>
      <vt:lpstr>演習開催日</vt:lpstr>
      <vt:lpstr>演習開催日2</vt:lpstr>
      <vt:lpstr>開始時間</vt:lpstr>
    </vt:vector>
  </TitlesOfParts>
  <Company>FCSK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Hideki Sakasegawa</dc:creator>
  <cp:lastModifiedBy>User</cp:lastModifiedBy>
  <cp:lastPrinted>2020-05-22T09:23:31Z</cp:lastPrinted>
  <dcterms:created xsi:type="dcterms:W3CDTF">2007-10-01T10:45:48Z</dcterms:created>
  <dcterms:modified xsi:type="dcterms:W3CDTF">2022-12-05T00:27:18Z</dcterms:modified>
  <cp:contentStatus/>
</cp:coreProperties>
</file>